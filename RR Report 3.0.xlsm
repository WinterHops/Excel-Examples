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g110810\Documents\GitHub\Excel-Examples\"/>
    </mc:Choice>
  </mc:AlternateContent>
  <bookViews>
    <workbookView xWindow="0" yWindow="0" windowWidth="28800" windowHeight="11835"/>
  </bookViews>
  <sheets>
    <sheet name="Load Data" sheetId="1" r:id="rId1"/>
    <sheet name="R&amp;R_RawData" sheetId="3" r:id="rId2"/>
    <sheet name="S5 R&amp;R" sheetId="2" state="hidden" r:id="rId3"/>
    <sheet name="R&amp;R Grade" sheetId="4" r:id="rId4"/>
    <sheet name="S5 R&amp;R Grade" sheetId="6" state="hidden" r:id="rId5"/>
  </sheets>
  <definedNames>
    <definedName name="file_Name">'Load Data'!$N$1</definedName>
    <definedName name="S5_actualV">'S5 R&amp;R Grade'!$J$13:$J$37</definedName>
    <definedName name="S5_StackID">'R&amp;R Grade'!$N$9:$P$9</definedName>
    <definedName name="S5_Value">'R&amp;R Grade'!$R$13:$R$37</definedName>
    <definedName name="S6_actualV">'R&amp;R Grade'!$J$13:$J$37</definedName>
    <definedName name="S6_StackID">'R&amp;R Grade'!$F$9:$H$9</definedName>
    <definedName name="Sample" localSheetId="1">'R&amp;R_RawData'!$A$1:$CB$25</definedName>
    <definedName name="Sample_1" localSheetId="1">'R&amp;R_RawData'!$A$1:$CB$25</definedName>
    <definedName name="Sample_10" localSheetId="1">'R&amp;R_RawData'!$A$1:$CB$25</definedName>
    <definedName name="Sample_11" localSheetId="1">'R&amp;R_RawData'!$A$1:$CB$25</definedName>
    <definedName name="Sample_2" localSheetId="1">'R&amp;R_RawData'!$A$1:$CB$25</definedName>
    <definedName name="Sample_3" localSheetId="1">'R&amp;R_RawData'!$A$1:$CB$25</definedName>
    <definedName name="Sample_4" localSheetId="1">'R&amp;R_RawData'!$A$1:$CB$25</definedName>
    <definedName name="Sample_5" localSheetId="1">'R&amp;R_RawData'!$A$1:$CB$25</definedName>
    <definedName name="Sample_6" localSheetId="1">'R&amp;R_RawData'!$A$1:$CB$25</definedName>
    <definedName name="Sample_7" localSheetId="1">'R&amp;R_RawData'!$A$1:$CB$25</definedName>
    <definedName name="Sample_8" localSheetId="1">'R&amp;R_RawData'!$A$1:$CB$25</definedName>
    <definedName name="Sample_9" localSheetId="1">'R&amp;R_RawData'!$A$1:$CB$25</definedName>
    <definedName name="Stack_Design">'Load Data'!$N$2</definedName>
    <definedName name="Stack_Test_Date">'R&amp;R Grade'!$F$9:$K$9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9" i="4" l="1"/>
  <c r="O9" i="4"/>
  <c r="N9" i="4"/>
  <c r="F9" i="6"/>
  <c r="F9" i="4"/>
  <c r="H9" i="4"/>
  <c r="G9" i="4" l="1"/>
  <c r="N2" i="1" l="1"/>
  <c r="H9" i="6" l="1"/>
  <c r="J9" i="6"/>
</calcChain>
</file>

<file path=xl/connections.xml><?xml version="1.0" encoding="utf-8"?>
<connections xmlns="http://schemas.openxmlformats.org/spreadsheetml/2006/main">
  <connection id="1" name="BM66117-000070-24_std-report_18233-27" type="6" refreshedVersion="6" background="1" saveData="1">
    <textPr prompt="0" codePage="437" sourceFile="\\citrix\Data\Testing\R&amp;R\1M_R&amp;R_Standard_Reports\BM66117-000070-24_std-report_18233-27.txt" comma="1">
      <textFields count="6">
        <textField/>
        <textField/>
        <textField/>
        <textField/>
        <textField/>
        <textField/>
      </textFields>
    </textPr>
  </connection>
  <connection id="2" name="DM57086-010216-23_std-report_17127-43" type="6" refreshedVersion="6" background="1" saveData="1">
    <textPr prompt="0" codePage="437" sourceFile="\\citrix\Data\Testing\R&amp;R\1M_R&amp;R_Standard_Reports\DM57086-010216-23_std-report_17127-43.txt" comma="1">
      <textFields count="6">
        <textField/>
        <textField/>
        <textField/>
        <textField/>
        <textField/>
        <textField/>
      </textFields>
    </textPr>
  </connection>
  <connection id="3" name="DM57086-010216-23_std-report_17127-431" type="6" refreshedVersion="6" background="1" saveData="1">
    <textPr prompt="0" codePage="437" sourceFile="\\citrix\Data\Testing\R&amp;R\1M_R&amp;R_Standard_Reports\DM57086-010216-23_std-report_17127-43.txt" comma="1">
      <textFields count="6">
        <textField/>
        <textField/>
        <textField/>
        <textField/>
        <textField/>
        <textField/>
      </textFields>
    </textPr>
  </connection>
  <connection id="4" name="DM57086-010216-23_std-report_17127-432" type="6" refreshedVersion="6" background="1" saveData="1">
    <textPr prompt="0" codePage="437" sourceFile="\\citrix\Data\Testing\R&amp;R\1M_R&amp;R_Standard_Reports\DM57086-010216-23_std-report_17127-43.txt" comma="1">
      <textFields count="6">
        <textField/>
        <textField/>
        <textField/>
        <textField/>
        <textField/>
        <textField/>
      </textFields>
    </textPr>
  </connection>
  <connection id="5" name="DM66000-001134-10_std-report_18134-23" type="6" refreshedVersion="6" background="1" saveData="1">
    <textPr prompt="0" codePage="437" sourceFile="\\citrix\Data\Testing\R&amp;R\1M_R&amp;R_Standard_Reports\DM66000-001134-10_std-report_18134-23.txt" comma="1">
      <textFields count="6">
        <textField/>
        <textField/>
        <textField/>
        <textField/>
        <textField/>
        <textField/>
      </textFields>
    </textPr>
  </connection>
  <connection id="6" name="DM66000-001134-10_std-report_18134-231" type="6" refreshedVersion="6" background="1" saveData="1">
    <textPr prompt="0" codePage="437" sourceFile="\\citrix\Data\Testing\R&amp;R\1M_R&amp;R_Standard_Reports\DM66000-001134-10_std-report_18134-23.txt" comma="1">
      <textFields count="6">
        <textField/>
        <textField/>
        <textField/>
        <textField/>
        <textField/>
        <textField/>
      </textFields>
    </textPr>
  </connection>
  <connection id="7" name="DM66000-001134-10_std-report_18134-232" type="6" refreshedVersion="6" background="1" saveData="1">
    <textPr prompt="0" codePage="437" sourceFile="\\citrix\Data\Testing\R&amp;R\1M_R&amp;R_Standard_Reports\DM66000-001134-10_std-report_18134-23.txt" comma="1">
      <textFields count="6">
        <textField/>
        <textField/>
        <textField/>
        <textField/>
        <textField/>
        <textField/>
      </textFields>
    </textPr>
  </connection>
  <connection id="8" name="DM66000-001134-10_std-report_18134-233" type="6" refreshedVersion="6" background="1" saveData="1">
    <textPr prompt="0" codePage="437" sourceFile="\\citrix\Data\Testing\R&amp;R\1M_R&amp;R_Standard_Reports\DM66000-001134-10_std-report_18134-23.txt" comma="1">
      <textFields count="6">
        <textField/>
        <textField/>
        <textField/>
        <textField/>
        <textField/>
        <textField/>
      </textFields>
    </textPr>
  </connection>
  <connection id="9" name="DM66000-001134-10_std-report_18134-234" type="6" refreshedVersion="6" background="1" saveData="1">
    <textPr prompt="0" codePage="437" sourceFile="\\citrix\Data\Testing\R&amp;R\1M_R&amp;R_Standard_Reports\DM66000-001134-10_std-report_18134-23.txt" comma="1">
      <textFields count="6">
        <textField/>
        <textField/>
        <textField/>
        <textField/>
        <textField/>
        <textField/>
      </textFields>
    </textPr>
  </connection>
  <connection id="10" name="DM66000-001134-10_std-report_18134-235" type="6" refreshedVersion="6" background="1" saveData="1">
    <textPr prompt="0" codePage="437" sourceFile="\\citrix\Data\Testing\R&amp;R\1M_R&amp;R_Standard_Reports\DM66000-001134-10_std-report_18134-23.txt" comma="1">
      <textFields count="6">
        <textField/>
        <textField/>
        <textField/>
        <textField/>
        <textField/>
        <textField/>
      </textFields>
    </textPr>
  </connection>
  <connection id="11" name="DM66000-001134-10_std-report_18134-236" type="6" refreshedVersion="6" background="1" saveData="1">
    <textPr prompt="0" codePage="437" sourceFile="\\citrix\Data\Testing\R&amp;R\1M_R&amp;R_Standard_Reports\DM66000-001134-10_std-report_18134-23.txt" comma="1">
      <textFields count="6">
        <textField/>
        <textField/>
        <textField/>
        <textField/>
        <textField/>
        <textField/>
      </textFields>
    </textPr>
  </connection>
  <connection id="12" name="DM66000-001134-10_std-report_18247-23" type="6" refreshedVersion="6" background="1" saveData="1">
    <textPr prompt="0" codePage="437" sourceFile="C:\Users\dg110810\Documents\GitHub\Excel-Examples\DM66000-001134-10_std-report_18247-23.txt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<sst xmlns="http://schemas.openxmlformats.org/spreadsheetml/2006/main" count="294" uniqueCount="142">
  <si>
    <t>Stack Design</t>
  </si>
  <si>
    <t>15% pER SS</t>
  </si>
  <si>
    <t>Stack ID</t>
  </si>
  <si>
    <t>Test Station ID</t>
  </si>
  <si>
    <t>Date</t>
  </si>
  <si>
    <t>Condition</t>
  </si>
  <si>
    <t>Parameter</t>
  </si>
  <si>
    <t>USL</t>
  </si>
  <si>
    <t>LSL</t>
  </si>
  <si>
    <t>Actual Value</t>
  </si>
  <si>
    <t>Result</t>
  </si>
  <si>
    <t xml:space="preserve">Moist H2 OCV </t>
  </si>
  <si>
    <t>Tao</t>
  </si>
  <si>
    <t>Fuel Pressure</t>
  </si>
  <si>
    <t>Thh</t>
  </si>
  <si>
    <t>S:C</t>
  </si>
  <si>
    <t>Voltage (Cell 2)</t>
  </si>
  <si>
    <t>Voltage(Cell 13)</t>
  </si>
  <si>
    <t>H2 SS</t>
  </si>
  <si>
    <t>Tsb</t>
  </si>
  <si>
    <t>Air Pressure</t>
  </si>
  <si>
    <t>Twc</t>
  </si>
  <si>
    <t>Tfc</t>
  </si>
  <si>
    <t>Tdp</t>
  </si>
  <si>
    <t>S:M</t>
  </si>
  <si>
    <t>pER OCV</t>
  </si>
  <si>
    <t>DM66000-001134-10</t>
  </si>
  <si>
    <t>TS-9</t>
  </si>
  <si>
    <t>31_2.1/15-0507-1</t>
  </si>
  <si>
    <t>top</t>
  </si>
  <si>
    <t>RRR_S6</t>
  </si>
  <si>
    <t>DM66000-001134-10_std-report.txt</t>
  </si>
  <si>
    <t>date</t>
  </si>
  <si>
    <t>time [hrs]</t>
  </si>
  <si>
    <t>Stack Potential [V]</t>
  </si>
  <si>
    <t>Stack Current [A]</t>
  </si>
  <si>
    <t>Fuel Pressure [psi]</t>
  </si>
  <si>
    <t>Air flow [slm]</t>
  </si>
  <si>
    <t>T air in [C]</t>
  </si>
  <si>
    <t>T air out [C]</t>
  </si>
  <si>
    <t>T fuel in [C]</t>
  </si>
  <si>
    <t>T fuel out [C]</t>
  </si>
  <si>
    <t>T stack top [C]</t>
  </si>
  <si>
    <t>T stack base [C]</t>
  </si>
  <si>
    <t>T humidifier head [C]</t>
  </si>
  <si>
    <t>T ref ext [C]</t>
  </si>
  <si>
    <t>V01 [V]</t>
  </si>
  <si>
    <t>V02 [V]</t>
  </si>
  <si>
    <t>V03 [V]</t>
  </si>
  <si>
    <t>V04 [V]</t>
  </si>
  <si>
    <t>V05 [V]</t>
  </si>
  <si>
    <t>V06 [V]</t>
  </si>
  <si>
    <t>V07 [V]</t>
  </si>
  <si>
    <t>V08 [V]</t>
  </si>
  <si>
    <t>V09 [V]</t>
  </si>
  <si>
    <t>V10 [V]</t>
  </si>
  <si>
    <t>V11 [V]</t>
  </si>
  <si>
    <t>V12 [V]</t>
  </si>
  <si>
    <t>V13 [V]</t>
  </si>
  <si>
    <t>V14 [V]</t>
  </si>
  <si>
    <t>V15 [V]</t>
  </si>
  <si>
    <t>V16 [V]</t>
  </si>
  <si>
    <t>V17 [V]</t>
  </si>
  <si>
    <t>V18 [V]</t>
  </si>
  <si>
    <t>V19 [V]</t>
  </si>
  <si>
    <t>V20 [V]</t>
  </si>
  <si>
    <t>V21 [V]</t>
  </si>
  <si>
    <t>V22 [V]</t>
  </si>
  <si>
    <t>V23 [V]</t>
  </si>
  <si>
    <t>V24 [V]</t>
  </si>
  <si>
    <t>V25 [V]</t>
  </si>
  <si>
    <t>V26 [V]</t>
  </si>
  <si>
    <t>V27 [V]</t>
  </si>
  <si>
    <t>V28 [V]</t>
  </si>
  <si>
    <t>V29 [V]</t>
  </si>
  <si>
    <t>V30 [V]</t>
  </si>
  <si>
    <t>V31 [V]</t>
  </si>
  <si>
    <t>Air Pressure [psi]</t>
  </si>
  <si>
    <t>Thh Cathode [C]</t>
  </si>
  <si>
    <t>RFM [ohms]</t>
  </si>
  <si>
    <t>RTE [ohms]</t>
  </si>
  <si>
    <t>DIN</t>
  </si>
  <si>
    <t>T fc [C]</t>
  </si>
  <si>
    <t>T wc [C]</t>
  </si>
  <si>
    <t>T line [C]</t>
  </si>
  <si>
    <t>T ric [C]</t>
  </si>
  <si>
    <t>T roc [C]</t>
  </si>
  <si>
    <t>T Cath H2O [C]</t>
  </si>
  <si>
    <t>T Cath Line [C]</t>
  </si>
  <si>
    <t>% fc</t>
  </si>
  <si>
    <t>% wc</t>
  </si>
  <si>
    <t>% line</t>
  </si>
  <si>
    <t>% ric</t>
  </si>
  <si>
    <t>% roc</t>
  </si>
  <si>
    <t>% Cath H2O</t>
  </si>
  <si>
    <t>% Cath Line</t>
  </si>
  <si>
    <t>H2 flow [slm]</t>
  </si>
  <si>
    <t>CH4 flow [slm]</t>
  </si>
  <si>
    <t>N2 flow [slm]</t>
  </si>
  <si>
    <t>Anode Air flow [slm]</t>
  </si>
  <si>
    <t>CO2 flow [slm]</t>
  </si>
  <si>
    <t>Air Moist flow [slm]</t>
  </si>
  <si>
    <t>Current Density [mA/cm2]</t>
  </si>
  <si>
    <t>Mean P" [mW/cm2]</t>
  </si>
  <si>
    <t>S:C [ ]</t>
  </si>
  <si>
    <t>S:M [ ]</t>
  </si>
  <si>
    <t>Tdp Cathode [C ]</t>
  </si>
  <si>
    <t>Air Utilization [%]</t>
  </si>
  <si>
    <t>Fuel Utilization [%]</t>
  </si>
  <si>
    <t>SubTest</t>
  </si>
  <si>
    <t>Grade</t>
  </si>
  <si>
    <t>Comment</t>
  </si>
  <si>
    <t>Inf</t>
  </si>
  <si>
    <t>NaN</t>
  </si>
  <si>
    <t>Maintenance</t>
  </si>
  <si>
    <t>N/G</t>
  </si>
  <si>
    <t>Std Rpt File Init</t>
  </si>
  <si>
    <t>OCV Flow Sensitivity - H2</t>
  </si>
  <si>
    <t>DH2OCV</t>
  </si>
  <si>
    <t>Special</t>
  </si>
  <si>
    <t>DH2OCV_1xAir_1xFuel</t>
  </si>
  <si>
    <t>DH2OCV_3xAir_1xFuel</t>
  </si>
  <si>
    <t>DH2OCV_3xAir_2xFuel</t>
  </si>
  <si>
    <t>DH2OCV_1xAir_2xFuel</t>
  </si>
  <si>
    <t>DH2OCV_1xAir_0.5xFuel</t>
  </si>
  <si>
    <t>Moist H2 OCV</t>
  </si>
  <si>
    <t>H2SS</t>
  </si>
  <si>
    <t>30A Load - H2</t>
  </si>
  <si>
    <t>Utilization - Air</t>
  </si>
  <si>
    <t>Pass</t>
  </si>
  <si>
    <t>AU50</t>
  </si>
  <si>
    <t>AU55</t>
  </si>
  <si>
    <t>AU60</t>
  </si>
  <si>
    <t>AU65</t>
  </si>
  <si>
    <t>AU70</t>
  </si>
  <si>
    <t>Utilization - H2</t>
  </si>
  <si>
    <t>FU70</t>
  </si>
  <si>
    <t>FU75</t>
  </si>
  <si>
    <t>FU80</t>
  </si>
  <si>
    <t>FU85</t>
  </si>
  <si>
    <t>FU90</t>
  </si>
  <si>
    <t>15% pER OCV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</si>
</sst>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41414"/>
      <name val="Verdana"/>
      <family val="2"/>
    </font>
    <font>
      <sz val="10"/>
      <color rgb="FF252C2F"/>
      <name val="Arial"/>
      <family val="2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22" fontId="0" fillId="0" borderId="0" xfId="0" applyNumberFormat="1"/>
    <xf numFmtId="0" fontId="5" fillId="0" borderId="0" xfId="0" applyFont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6" fillId="0" borderId="13" xfId="0" applyFont="1" applyFill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1" fontId="5" fillId="0" borderId="14" xfId="0" applyNumberFormat="1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6" fillId="0" borderId="16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/>
    </xf>
    <xf numFmtId="164" fontId="5" fillId="0" borderId="17" xfId="0" applyNumberFormat="1" applyFont="1" applyFill="1" applyBorder="1" applyAlignment="1">
      <alignment horizontal="center"/>
    </xf>
    <xf numFmtId="0" fontId="5" fillId="0" borderId="18" xfId="0" applyFont="1" applyFill="1" applyBorder="1" applyAlignment="1">
      <alignment horizontal="center"/>
    </xf>
    <xf numFmtId="2" fontId="5" fillId="0" borderId="17" xfId="0" applyNumberFormat="1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164" fontId="5" fillId="0" borderId="23" xfId="0" applyNumberFormat="1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1" fontId="5" fillId="0" borderId="17" xfId="0" applyNumberFormat="1" applyFont="1" applyFill="1" applyBorder="1" applyAlignment="1">
      <alignment horizontal="center"/>
    </xf>
    <xf numFmtId="164" fontId="5" fillId="0" borderId="14" xfId="0" applyNumberFormat="1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5" fillId="0" borderId="19" xfId="0" applyFont="1" applyFill="1" applyBorder="1" applyAlignment="1"/>
    <xf numFmtId="0" fontId="5" fillId="0" borderId="16" xfId="0" applyFont="1" applyFill="1" applyBorder="1" applyAlignment="1"/>
    <xf numFmtId="0" fontId="5" fillId="0" borderId="22" xfId="0" applyFont="1" applyFill="1" applyBorder="1" applyAlignment="1"/>
    <xf numFmtId="0" fontId="5" fillId="0" borderId="21" xfId="0" applyFont="1" applyFill="1" applyBorder="1" applyAlignment="1"/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 vertical="center"/>
    </xf>
    <xf numFmtId="0" fontId="4" fillId="0" borderId="0" xfId="0" applyFont="1" applyFill="1" applyBorder="1" applyAlignment="1"/>
    <xf numFmtId="0" fontId="5" fillId="0" borderId="0" xfId="0" applyFont="1" applyFill="1" applyBorder="1" applyAlignment="1"/>
    <xf numFmtId="14" fontId="5" fillId="0" borderId="0" xfId="0" applyNumberFormat="1" applyFont="1" applyFill="1" applyBorder="1" applyAlignment="1"/>
    <xf numFmtId="0" fontId="4" fillId="3" borderId="28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14" fontId="5" fillId="0" borderId="29" xfId="0" applyNumberFormat="1" applyFont="1" applyBorder="1" applyAlignment="1">
      <alignment horizontal="center" vertical="center"/>
    </xf>
    <xf numFmtId="0" fontId="5" fillId="0" borderId="0" xfId="0" applyFont="1" applyBorder="1" applyAlignment="1"/>
    <xf numFmtId="0" fontId="4" fillId="4" borderId="5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22" fontId="5" fillId="0" borderId="29" xfId="0" applyNumberFormat="1" applyFont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14" fontId="5" fillId="0" borderId="8" xfId="0" applyNumberFormat="1" applyFont="1" applyBorder="1" applyAlignment="1">
      <alignment horizontal="center"/>
    </xf>
  </cellXfs>
  <cellStyles count="1">
    <cellStyle name="Normal" xfId="0" builtinId="0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4</xdr:row>
      <xdr:rowOff>19050</xdr:rowOff>
    </xdr:from>
    <xdr:to>
      <xdr:col>10</xdr:col>
      <xdr:colOff>9526</xdr:colOff>
      <xdr:row>8</xdr:row>
      <xdr:rowOff>9525</xdr:rowOff>
    </xdr:to>
    <xdr:sp macro="[0]!Import" textlink="">
      <xdr:nvSpPr>
        <xdr:cNvPr id="2" name="Rounded Rectangle 1"/>
        <xdr:cNvSpPr/>
      </xdr:nvSpPr>
      <xdr:spPr>
        <a:xfrm>
          <a:off x="3638550" y="781050"/>
          <a:ext cx="2466976" cy="752475"/>
        </a:xfrm>
        <a:prstGeom prst="roundRect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 extrusionH="76200">
          <a:bevelT w="12700"/>
          <a:bevelB w="12700"/>
          <a:extrusionClr>
            <a:schemeClr val="tx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 i="1" u="none">
              <a:latin typeface="Bookman Old Style" panose="02050604050505020204" pitchFamily="18" charset="0"/>
            </a:rPr>
            <a:t>Load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19050</xdr:rowOff>
    </xdr:from>
    <xdr:to>
      <xdr:col>3</xdr:col>
      <xdr:colOff>438150</xdr:colOff>
      <xdr:row>9</xdr:row>
      <xdr:rowOff>19050</xdr:rowOff>
    </xdr:to>
    <xdr:sp macro="[0]!_xludf.Transpose" textlink="">
      <xdr:nvSpPr>
        <xdr:cNvPr id="2" name="Isosceles Triangle 1"/>
        <xdr:cNvSpPr/>
      </xdr:nvSpPr>
      <xdr:spPr>
        <a:xfrm>
          <a:off x="95250" y="209550"/>
          <a:ext cx="1885950" cy="1552575"/>
        </a:xfrm>
        <a:prstGeom prst="triangle">
          <a:avLst/>
        </a:prstGeom>
        <a:solidFill>
          <a:schemeClr val="tx2">
            <a:lumMod val="50000"/>
          </a:schemeClr>
        </a:solidFill>
        <a:effectLst>
          <a:reflection blurRad="6350" stA="50000" endA="275" endPos="40000" dist="101600" dir="5400000" sy="-100000" algn="bl" rotWithShape="0"/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Store Data</a:t>
          </a:r>
        </a:p>
      </xdr:txBody>
    </xdr:sp>
    <xdr:clientData/>
  </xdr:twoCellAnchor>
  <xdr:twoCellAnchor>
    <xdr:from>
      <xdr:col>4</xdr:col>
      <xdr:colOff>504825</xdr:colOff>
      <xdr:row>1</xdr:row>
      <xdr:rowOff>180975</xdr:rowOff>
    </xdr:from>
    <xdr:to>
      <xdr:col>5</xdr:col>
      <xdr:colOff>800100</xdr:colOff>
      <xdr:row>5</xdr:row>
      <xdr:rowOff>180975</xdr:rowOff>
    </xdr:to>
    <xdr:sp macro="" textlink="">
      <xdr:nvSpPr>
        <xdr:cNvPr id="3" name="TextBox 2"/>
        <xdr:cNvSpPr txBox="1"/>
      </xdr:nvSpPr>
      <xdr:spPr>
        <a:xfrm>
          <a:off x="2562225" y="371475"/>
          <a:ext cx="809625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a:rPr>
            <a:t>S6</a:t>
          </a: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13</xdr:col>
      <xdr:colOff>809625</xdr:colOff>
      <xdr:row>6</xdr:row>
      <xdr:rowOff>0</xdr:rowOff>
    </xdr:to>
    <xdr:sp macro="" textlink="">
      <xdr:nvSpPr>
        <xdr:cNvPr id="4" name="TextBox 3"/>
        <xdr:cNvSpPr txBox="1"/>
      </xdr:nvSpPr>
      <xdr:spPr>
        <a:xfrm>
          <a:off x="9001125" y="381000"/>
          <a:ext cx="809625" cy="762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en-US" sz="4800" b="1" cap="none" spc="0">
              <a:ln w="22225">
                <a:solidFill>
                  <a:sysClr val="windowText" lastClr="000000"/>
                </a:solidFill>
                <a:prstDash val="solid"/>
              </a:ln>
              <a:solidFill>
                <a:schemeClr val="accent6">
                  <a:lumMod val="40000"/>
                  <a:lumOff val="60000"/>
                </a:schemeClr>
              </a:solidFill>
              <a:effectLst>
                <a:glow rad="63500">
                  <a:schemeClr val="accent6">
                    <a:satMod val="175000"/>
                    <a:alpha val="40000"/>
                  </a:schemeClr>
                </a:glow>
              </a:effectLst>
            </a:rPr>
            <a:t>S5</a:t>
          </a:r>
        </a:p>
      </xdr:txBody>
    </xdr:sp>
    <xdr:clientData/>
  </xdr:twoCellAnchor>
  <xdr:twoCellAnchor>
    <xdr:from>
      <xdr:col>0</xdr:col>
      <xdr:colOff>219075</xdr:colOff>
      <xdr:row>13</xdr:row>
      <xdr:rowOff>114300</xdr:rowOff>
    </xdr:from>
    <xdr:to>
      <xdr:col>4</xdr:col>
      <xdr:colOff>209550</xdr:colOff>
      <xdr:row>18</xdr:row>
      <xdr:rowOff>95250</xdr:rowOff>
    </xdr:to>
    <xdr:sp macro="" textlink="">
      <xdr:nvSpPr>
        <xdr:cNvPr id="5" name="TextBox 4"/>
        <xdr:cNvSpPr txBox="1"/>
      </xdr:nvSpPr>
      <xdr:spPr>
        <a:xfrm>
          <a:off x="219075" y="2628900"/>
          <a:ext cx="2047875" cy="942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Button</a:t>
          </a:r>
          <a:r>
            <a:rPr lang="en-US" sz="1100" baseline="0"/>
            <a:t> will not work due to confidentiality, however the data in the left will be transposed into a master file. </a:t>
          </a:r>
        </a:p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19</xdr:row>
      <xdr:rowOff>66674</xdr:rowOff>
    </xdr:from>
    <xdr:to>
      <xdr:col>5</xdr:col>
      <xdr:colOff>390591</xdr:colOff>
      <xdr:row>29</xdr:row>
      <xdr:rowOff>21026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33799"/>
          <a:ext cx="2962341" cy="1868877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Sample" connectionId="1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ample_2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ample_7" connectionId="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ample_1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ample_6" connectionId="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Sample_11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Sample_10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Sample_5" connectionId="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Sample_9" connectionId="1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Sample_4" connectionId="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Sample_3" connectionId="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Sample_8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2"/>
  <sheetViews>
    <sheetView tabSelected="1" zoomScale="80" zoomScaleNormal="80" workbookViewId="0"/>
  </sheetViews>
  <sheetFormatPr defaultRowHeight="15" x14ac:dyDescent="0.25"/>
  <cols>
    <col min="13" max="13" width="23.7109375" customWidth="1"/>
    <col min="14" max="14" width="72.7109375" customWidth="1"/>
  </cols>
  <sheetData>
    <row r="1" spans="2:15" x14ac:dyDescent="0.25">
      <c r="B1" s="1"/>
      <c r="M1" s="5" t="s">
        <v>2</v>
      </c>
      <c r="N1" s="3" t="s">
        <v>26</v>
      </c>
      <c r="O1" s="2"/>
    </row>
    <row r="2" spans="2:15" ht="15.75" thickBot="1" x14ac:dyDescent="0.3">
      <c r="M2" s="6" t="s">
        <v>0</v>
      </c>
      <c r="N2" s="4" t="str">
        <f>"S"&amp; MID(file_Name,MIN(FIND({0,1,2,3,4,5,6,7,8,9},file_Name&amp;"0123456789")),1)</f>
        <v>S6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G148"/>
  <sheetViews>
    <sheetView workbookViewId="0">
      <selection activeCell="B34" sqref="B34"/>
    </sheetView>
  </sheetViews>
  <sheetFormatPr defaultRowHeight="15" x14ac:dyDescent="0.25"/>
  <cols>
    <col min="1" max="1" width="14.85546875" customWidth="1"/>
    <col min="2" max="2" width="16" bestFit="1" customWidth="1"/>
    <col min="3" max="3" width="17.5703125" customWidth="1"/>
    <col min="4" max="4" width="16" customWidth="1"/>
    <col min="5" max="6" width="32.140625" customWidth="1"/>
    <col min="7" max="7" width="9.85546875" customWidth="1"/>
    <col min="8" max="9" width="11.140625" customWidth="1"/>
    <col min="10" max="10" width="12.42578125" customWidth="1"/>
    <col min="11" max="11" width="13.42578125" customWidth="1"/>
    <col min="12" max="12" width="14.5703125" customWidth="1"/>
    <col min="13" max="13" width="20" customWidth="1"/>
    <col min="14" max="14" width="11.28515625" customWidth="1"/>
    <col min="15" max="15" width="9.7109375" customWidth="1"/>
    <col min="16" max="17" width="9" customWidth="1"/>
    <col min="18" max="19" width="9.7109375" customWidth="1"/>
    <col min="20" max="21" width="9" customWidth="1"/>
    <col min="22" max="23" width="9.7109375" customWidth="1"/>
    <col min="24" max="24" width="9" customWidth="1"/>
    <col min="25" max="26" width="9.7109375" customWidth="1"/>
    <col min="27" max="28" width="9" customWidth="1"/>
    <col min="29" max="30" width="9.7109375" customWidth="1"/>
    <col min="31" max="32" width="9" customWidth="1"/>
    <col min="33" max="34" width="9.7109375" customWidth="1"/>
    <col min="35" max="36" width="9" customWidth="1"/>
    <col min="37" max="38" width="9.7109375" customWidth="1"/>
    <col min="39" max="40" width="9" customWidth="1"/>
    <col min="41" max="42" width="9.7109375" customWidth="1"/>
    <col min="43" max="43" width="9" customWidth="1"/>
    <col min="44" max="44" width="9.7109375" customWidth="1"/>
    <col min="45" max="45" width="9" customWidth="1"/>
    <col min="46" max="46" width="16.28515625" customWidth="1"/>
    <col min="47" max="47" width="15.28515625" customWidth="1"/>
    <col min="48" max="48" width="11.5703125" customWidth="1"/>
    <col min="49" max="49" width="10.85546875" customWidth="1"/>
    <col min="50" max="50" width="4.28515625" customWidth="1"/>
    <col min="51" max="51" width="7" customWidth="1"/>
    <col min="52" max="52" width="7.85546875" customWidth="1"/>
    <col min="53" max="53" width="8.85546875" customWidth="1"/>
    <col min="54" max="54" width="7.5703125" customWidth="1"/>
    <col min="55" max="55" width="8.140625" customWidth="1"/>
    <col min="56" max="57" width="13.7109375" customWidth="1"/>
    <col min="58" max="58" width="5" customWidth="1"/>
    <col min="59" max="59" width="5.42578125" customWidth="1"/>
    <col min="60" max="60" width="6.42578125" customWidth="1"/>
    <col min="61" max="61" width="5.140625" customWidth="1"/>
    <col min="62" max="62" width="5.7109375" customWidth="1"/>
    <col min="63" max="64" width="11.140625" customWidth="1"/>
    <col min="65" max="65" width="12.7109375" customWidth="1"/>
    <col min="66" max="66" width="14" customWidth="1"/>
    <col min="67" max="67" width="12.85546875" customWidth="1"/>
    <col min="68" max="68" width="19.5703125" customWidth="1"/>
    <col min="69" max="69" width="14.140625" customWidth="1"/>
    <col min="70" max="70" width="18.7109375" customWidth="1"/>
    <col min="71" max="71" width="24.5703125" customWidth="1"/>
    <col min="72" max="72" width="18.5703125" customWidth="1"/>
    <col min="73" max="73" width="9" customWidth="1"/>
    <col min="74" max="74" width="9" bestFit="1" customWidth="1"/>
    <col min="75" max="75" width="15.7109375" customWidth="1"/>
    <col min="76" max="76" width="16.7109375" customWidth="1"/>
    <col min="77" max="77" width="18.140625" customWidth="1"/>
    <col min="78" max="78" width="23.5703125" customWidth="1"/>
    <col min="79" max="79" width="6.28515625" customWidth="1"/>
    <col min="80" max="80" width="22.85546875" customWidth="1"/>
    <col min="81" max="81" width="22.85546875" bestFit="1" customWidth="1"/>
    <col min="82" max="82" width="16.7109375" bestFit="1" customWidth="1"/>
    <col min="83" max="83" width="18.140625" bestFit="1" customWidth="1"/>
    <col min="84" max="84" width="23.5703125" bestFit="1" customWidth="1"/>
    <col min="85" max="85" width="6.28515625" bestFit="1" customWidth="1"/>
    <col min="86" max="86" width="22.85546875" bestFit="1" customWidth="1"/>
    <col min="87" max="87" width="13.140625" bestFit="1" customWidth="1"/>
    <col min="88" max="88" width="12.85546875" bestFit="1" customWidth="1"/>
    <col min="89" max="89" width="19.5703125" bestFit="1" customWidth="1"/>
    <col min="90" max="90" width="14.140625" bestFit="1" customWidth="1"/>
    <col min="91" max="91" width="17.7109375" bestFit="1" customWidth="1"/>
    <col min="92" max="92" width="16.28515625" bestFit="1" customWidth="1"/>
    <col min="93" max="93" width="15.28515625" bestFit="1" customWidth="1"/>
    <col min="94" max="94" width="9.85546875" bestFit="1" customWidth="1"/>
    <col min="95" max="96" width="11.140625" bestFit="1" customWidth="1"/>
    <col min="97" max="97" width="12.42578125" bestFit="1" customWidth="1"/>
    <col min="98" max="98" width="20" bestFit="1" customWidth="1"/>
    <col min="99" max="99" width="10.85546875" bestFit="1" customWidth="1"/>
    <col min="100" max="100" width="16.28515625" bestFit="1" customWidth="1"/>
    <col min="101" max="101" width="20.5703125" bestFit="1" customWidth="1"/>
    <col min="102" max="102" width="10.85546875" bestFit="1" customWidth="1"/>
    <col min="103" max="103" width="11.28515625" bestFit="1" customWidth="1"/>
    <col min="104" max="104" width="4.28515625" bestFit="1" customWidth="1"/>
    <col min="105" max="105" width="10.7109375" bestFit="1" customWidth="1"/>
    <col min="106" max="107" width="10.42578125" bestFit="1" customWidth="1"/>
    <col min="108" max="108" width="7.85546875" bestFit="1" customWidth="1"/>
    <col min="109" max="109" width="8.85546875" bestFit="1" customWidth="1"/>
    <col min="110" max="110" width="7.5703125" bestFit="1" customWidth="1"/>
    <col min="111" max="111" width="8.140625" bestFit="1" customWidth="1"/>
    <col min="112" max="113" width="13.7109375" bestFit="1" customWidth="1"/>
    <col min="114" max="114" width="8.28515625" bestFit="1" customWidth="1"/>
    <col min="115" max="116" width="8" bestFit="1" customWidth="1"/>
    <col min="117" max="117" width="5.42578125" bestFit="1" customWidth="1"/>
    <col min="118" max="118" width="6.42578125" bestFit="1" customWidth="1"/>
    <col min="119" max="119" width="5.140625" bestFit="1" customWidth="1"/>
    <col min="120" max="120" width="7" bestFit="1" customWidth="1"/>
    <col min="121" max="122" width="11.140625" bestFit="1" customWidth="1"/>
    <col min="123" max="123" width="7" bestFit="1" customWidth="1"/>
    <col min="124" max="124" width="9.7109375" bestFit="1" customWidth="1"/>
    <col min="125" max="125" width="8.7109375" bestFit="1" customWidth="1"/>
    <col min="126" max="126" width="14.5703125" bestFit="1" customWidth="1"/>
    <col min="127" max="130" width="9" bestFit="1" customWidth="1"/>
    <col min="131" max="131" width="9.7109375" bestFit="1" customWidth="1"/>
    <col min="132" max="132" width="9" bestFit="1" customWidth="1"/>
    <col min="133" max="134" width="9.7109375" bestFit="1" customWidth="1"/>
    <col min="135" max="137" width="9" bestFit="1" customWidth="1"/>
    <col min="138" max="139" width="9.7109375" bestFit="1" customWidth="1"/>
    <col min="140" max="142" width="9" bestFit="1" customWidth="1"/>
    <col min="143" max="143" width="9.7109375" bestFit="1" customWidth="1"/>
    <col min="144" max="144" width="9" bestFit="1" customWidth="1"/>
    <col min="145" max="145" width="9.7109375" bestFit="1" customWidth="1"/>
    <col min="146" max="148" width="9" bestFit="1" customWidth="1"/>
    <col min="149" max="149" width="9.7109375" bestFit="1" customWidth="1"/>
    <col min="150" max="151" width="9" bestFit="1" customWidth="1"/>
    <col min="152" max="152" width="9.7109375" bestFit="1" customWidth="1"/>
    <col min="153" max="153" width="9" bestFit="1" customWidth="1"/>
    <col min="154" max="154" width="9.7109375" bestFit="1" customWidth="1"/>
    <col min="155" max="155" width="9" bestFit="1" customWidth="1"/>
    <col min="156" max="156" width="9.7109375" bestFit="1" customWidth="1"/>
    <col min="157" max="157" width="9" bestFit="1" customWidth="1"/>
    <col min="158" max="158" width="18.85546875" bestFit="1" customWidth="1"/>
    <col min="159" max="159" width="16" bestFit="1" customWidth="1"/>
    <col min="160" max="160" width="23.5703125" bestFit="1" customWidth="1"/>
    <col min="161" max="161" width="6.28515625" bestFit="1" customWidth="1"/>
    <col min="162" max="162" width="22.85546875" bestFit="1" customWidth="1"/>
    <col min="163" max="163" width="13.85546875" bestFit="1" customWidth="1"/>
    <col min="164" max="164" width="16" bestFit="1" customWidth="1"/>
    <col min="165" max="165" width="17.5703125" bestFit="1" customWidth="1"/>
    <col min="166" max="166" width="16" bestFit="1" customWidth="1"/>
    <col min="167" max="168" width="35.7109375" bestFit="1" customWidth="1"/>
    <col min="169" max="169" width="9.85546875" bestFit="1" customWidth="1"/>
    <col min="170" max="171" width="11.140625" bestFit="1" customWidth="1"/>
    <col min="172" max="172" width="12.42578125" bestFit="1" customWidth="1"/>
    <col min="173" max="173" width="13.42578125" bestFit="1" customWidth="1"/>
    <col min="174" max="174" width="14.5703125" bestFit="1" customWidth="1"/>
    <col min="175" max="175" width="20" bestFit="1" customWidth="1"/>
    <col min="176" max="176" width="11.28515625" bestFit="1" customWidth="1"/>
    <col min="177" max="177" width="9" bestFit="1" customWidth="1"/>
    <col min="178" max="180" width="9.7109375" bestFit="1" customWidth="1"/>
    <col min="181" max="181" width="9" bestFit="1" customWidth="1"/>
    <col min="182" max="184" width="9.7109375" bestFit="1" customWidth="1"/>
    <col min="185" max="185" width="9" bestFit="1" customWidth="1"/>
    <col min="186" max="187" width="9.7109375" bestFit="1" customWidth="1"/>
    <col min="188" max="190" width="9" bestFit="1" customWidth="1"/>
    <col min="191" max="191" width="9.7109375" bestFit="1" customWidth="1"/>
    <col min="192" max="192" width="9" bestFit="1" customWidth="1"/>
    <col min="193" max="195" width="9.7109375" bestFit="1" customWidth="1"/>
    <col min="196" max="196" width="9" bestFit="1" customWidth="1"/>
    <col min="197" max="199" width="9.7109375" bestFit="1" customWidth="1"/>
    <col min="200" max="201" width="9" bestFit="1" customWidth="1"/>
    <col min="202" max="202" width="9.7109375" bestFit="1" customWidth="1"/>
    <col min="203" max="207" width="9" bestFit="1" customWidth="1"/>
    <col min="208" max="208" width="16.28515625" bestFit="1" customWidth="1"/>
    <col min="209" max="209" width="15.28515625" bestFit="1" customWidth="1"/>
    <col min="210" max="210" width="11.5703125" bestFit="1" customWidth="1"/>
    <col min="211" max="211" width="10.85546875" bestFit="1" customWidth="1"/>
    <col min="212" max="212" width="4.28515625" bestFit="1" customWidth="1"/>
    <col min="213" max="213" width="7" bestFit="1" customWidth="1"/>
    <col min="214" max="214" width="7.85546875" bestFit="1" customWidth="1"/>
    <col min="215" max="215" width="8.85546875" bestFit="1" customWidth="1"/>
    <col min="216" max="216" width="7.5703125" bestFit="1" customWidth="1"/>
    <col min="217" max="217" width="8.140625" bestFit="1" customWidth="1"/>
    <col min="218" max="219" width="13.7109375" bestFit="1" customWidth="1"/>
    <col min="220" max="220" width="5" bestFit="1" customWidth="1"/>
    <col min="221" max="221" width="5.42578125" bestFit="1" customWidth="1"/>
    <col min="222" max="222" width="6.42578125" bestFit="1" customWidth="1"/>
    <col min="223" max="223" width="5.140625" bestFit="1" customWidth="1"/>
    <col min="224" max="224" width="5.7109375" bestFit="1" customWidth="1"/>
    <col min="225" max="226" width="11.140625" bestFit="1" customWidth="1"/>
    <col min="227" max="227" width="12.7109375" bestFit="1" customWidth="1"/>
    <col min="228" max="228" width="14" bestFit="1" customWidth="1"/>
    <col min="229" max="229" width="12.85546875" bestFit="1" customWidth="1"/>
    <col min="230" max="230" width="19.5703125" bestFit="1" customWidth="1"/>
    <col min="231" max="231" width="14.140625" bestFit="1" customWidth="1"/>
    <col min="232" max="232" width="18.7109375" bestFit="1" customWidth="1"/>
    <col min="233" max="233" width="24.5703125" bestFit="1" customWidth="1"/>
    <col min="234" max="234" width="18.5703125" bestFit="1" customWidth="1"/>
    <col min="235" max="236" width="9" bestFit="1" customWidth="1"/>
    <col min="237" max="237" width="15.7109375" bestFit="1" customWidth="1"/>
    <col min="238" max="238" width="16.7109375" bestFit="1" customWidth="1"/>
    <col min="239" max="239" width="18.140625" bestFit="1" customWidth="1"/>
    <col min="240" max="240" width="23.5703125" bestFit="1" customWidth="1"/>
    <col min="241" max="241" width="6.28515625" bestFit="1" customWidth="1"/>
    <col min="242" max="242" width="22.85546875" bestFit="1" customWidth="1"/>
  </cols>
  <sheetData>
    <row r="1" spans="1:163" x14ac:dyDescent="0.25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31</v>
      </c>
    </row>
    <row r="2" spans="1:163" x14ac:dyDescent="0.25">
      <c r="A2" t="s">
        <v>32</v>
      </c>
      <c r="B2" t="s">
        <v>33</v>
      </c>
      <c r="C2" t="s">
        <v>34</v>
      </c>
      <c r="D2" t="s">
        <v>35</v>
      </c>
      <c r="E2" t="s">
        <v>36</v>
      </c>
      <c r="F2" t="s">
        <v>37</v>
      </c>
      <c r="G2" t="s">
        <v>38</v>
      </c>
      <c r="H2" t="s">
        <v>39</v>
      </c>
      <c r="I2" t="s">
        <v>40</v>
      </c>
      <c r="J2" t="s">
        <v>41</v>
      </c>
      <c r="K2" t="s">
        <v>42</v>
      </c>
      <c r="L2" t="s">
        <v>43</v>
      </c>
      <c r="M2" t="s">
        <v>44</v>
      </c>
      <c r="N2" t="s">
        <v>45</v>
      </c>
      <c r="O2" t="s">
        <v>46</v>
      </c>
      <c r="P2" t="s">
        <v>47</v>
      </c>
      <c r="Q2" t="s">
        <v>48</v>
      </c>
      <c r="R2" t="s">
        <v>49</v>
      </c>
      <c r="S2" t="s">
        <v>50</v>
      </c>
      <c r="T2" t="s">
        <v>51</v>
      </c>
      <c r="U2" t="s">
        <v>52</v>
      </c>
      <c r="V2" t="s">
        <v>53</v>
      </c>
      <c r="W2" t="s">
        <v>54</v>
      </c>
      <c r="X2" t="s">
        <v>55</v>
      </c>
      <c r="Y2" t="s">
        <v>56</v>
      </c>
      <c r="Z2" t="s">
        <v>57</v>
      </c>
      <c r="AA2" t="s">
        <v>58</v>
      </c>
      <c r="AB2" t="s">
        <v>59</v>
      </c>
      <c r="AC2" t="s">
        <v>60</v>
      </c>
      <c r="AD2" t="s">
        <v>61</v>
      </c>
      <c r="AE2" t="s">
        <v>62</v>
      </c>
      <c r="AF2" t="s">
        <v>63</v>
      </c>
      <c r="AG2" t="s">
        <v>64</v>
      </c>
      <c r="AH2" t="s">
        <v>65</v>
      </c>
      <c r="AI2" t="s">
        <v>66</v>
      </c>
      <c r="AJ2" t="s">
        <v>67</v>
      </c>
      <c r="AK2" t="s">
        <v>68</v>
      </c>
      <c r="AL2" t="s">
        <v>69</v>
      </c>
      <c r="AM2" t="s">
        <v>70</v>
      </c>
      <c r="AN2" t="s">
        <v>71</v>
      </c>
      <c r="AO2" t="s">
        <v>72</v>
      </c>
      <c r="AP2" t="s">
        <v>73</v>
      </c>
      <c r="AQ2" t="s">
        <v>74</v>
      </c>
      <c r="AR2" t="s">
        <v>75</v>
      </c>
      <c r="AS2" t="s">
        <v>76</v>
      </c>
      <c r="AT2" t="s">
        <v>77</v>
      </c>
      <c r="AU2" t="s">
        <v>78</v>
      </c>
      <c r="AV2" t="s">
        <v>79</v>
      </c>
      <c r="AW2" t="s">
        <v>80</v>
      </c>
      <c r="AX2" t="s">
        <v>81</v>
      </c>
      <c r="AY2" t="s">
        <v>82</v>
      </c>
      <c r="AZ2" t="s">
        <v>83</v>
      </c>
      <c r="BA2" t="s">
        <v>84</v>
      </c>
      <c r="BB2" t="s">
        <v>85</v>
      </c>
      <c r="BC2" t="s">
        <v>86</v>
      </c>
      <c r="BD2" t="s">
        <v>87</v>
      </c>
      <c r="BE2" t="s">
        <v>88</v>
      </c>
      <c r="BF2" t="s">
        <v>89</v>
      </c>
      <c r="BG2" t="s">
        <v>90</v>
      </c>
      <c r="BH2" t="s">
        <v>91</v>
      </c>
      <c r="BI2" t="s">
        <v>92</v>
      </c>
      <c r="BJ2" t="s">
        <v>93</v>
      </c>
      <c r="BK2" t="s">
        <v>94</v>
      </c>
      <c r="BL2" t="s">
        <v>95</v>
      </c>
      <c r="BM2" t="s">
        <v>96</v>
      </c>
      <c r="BN2" t="s">
        <v>97</v>
      </c>
      <c r="BO2" t="s">
        <v>98</v>
      </c>
      <c r="BP2" t="s">
        <v>99</v>
      </c>
      <c r="BQ2" t="s">
        <v>100</v>
      </c>
      <c r="BR2" t="s">
        <v>101</v>
      </c>
      <c r="BS2" t="s">
        <v>102</v>
      </c>
      <c r="BT2" t="s">
        <v>103</v>
      </c>
      <c r="BU2" t="s">
        <v>104</v>
      </c>
      <c r="BV2" t="s">
        <v>105</v>
      </c>
      <c r="BW2" t="s">
        <v>106</v>
      </c>
      <c r="BX2" t="s">
        <v>107</v>
      </c>
      <c r="BY2" t="s">
        <v>108</v>
      </c>
      <c r="BZ2" t="s">
        <v>109</v>
      </c>
      <c r="CA2" t="s">
        <v>110</v>
      </c>
      <c r="CB2" t="s">
        <v>111</v>
      </c>
    </row>
    <row r="3" spans="1:163" x14ac:dyDescent="0.25">
      <c r="A3" s="7">
        <v>43304.590277777781</v>
      </c>
      <c r="B3">
        <v>0.3301</v>
      </c>
      <c r="C3">
        <v>0</v>
      </c>
      <c r="D3">
        <v>0</v>
      </c>
      <c r="E3">
        <v>-4.895E-3</v>
      </c>
      <c r="F3">
        <v>0.284578</v>
      </c>
      <c r="G3">
        <v>25.277000000000001</v>
      </c>
      <c r="H3">
        <v>25.277999999999999</v>
      </c>
      <c r="I3">
        <v>25.007000000000001</v>
      </c>
      <c r="J3">
        <v>25.097000000000001</v>
      </c>
      <c r="K3">
        <v>25.231000000000002</v>
      </c>
      <c r="L3">
        <v>24.99</v>
      </c>
      <c r="M3">
        <v>23.38</v>
      </c>
      <c r="N3">
        <v>22.774999999999999</v>
      </c>
      <c r="O3">
        <v>-2.7487999999999999E-2</v>
      </c>
      <c r="P3">
        <v>2.7295E-2</v>
      </c>
      <c r="Q3">
        <v>4.4127E-2</v>
      </c>
      <c r="R3">
        <v>-8.6149999999999994E-3</v>
      </c>
      <c r="S3">
        <v>-1.8731999999999999E-2</v>
      </c>
      <c r="T3">
        <v>4.4525000000000002E-2</v>
      </c>
      <c r="U3">
        <v>4.5039000000000003E-2</v>
      </c>
      <c r="V3">
        <v>-2.0735E-2</v>
      </c>
      <c r="W3">
        <v>-1.1671000000000001E-2</v>
      </c>
      <c r="X3">
        <v>1.7849999999999999E-3</v>
      </c>
      <c r="Y3">
        <v>-3.4755000000000001E-2</v>
      </c>
      <c r="Z3">
        <v>-4.5282999999999997E-2</v>
      </c>
      <c r="AA3">
        <v>2.5267000000000001E-2</v>
      </c>
      <c r="AB3">
        <v>3.5782000000000001E-2</v>
      </c>
      <c r="AC3">
        <v>-2.5163999999999999E-2</v>
      </c>
      <c r="AD3">
        <v>-3.6153999999999999E-2</v>
      </c>
      <c r="AE3">
        <v>2.4972000000000001E-2</v>
      </c>
      <c r="AF3">
        <v>2.9336999999999998E-2</v>
      </c>
      <c r="AG3">
        <v>-3.9940999999999997E-2</v>
      </c>
      <c r="AH3">
        <v>-2.8836000000000001E-2</v>
      </c>
      <c r="AI3">
        <v>3.3291000000000001E-2</v>
      </c>
      <c r="AJ3">
        <v>3.2957E-2</v>
      </c>
      <c r="AK3">
        <v>-2.6075999999999998E-2</v>
      </c>
      <c r="AL3">
        <v>-2.0438999999999999E-2</v>
      </c>
      <c r="AM3">
        <v>3.9774999999999998E-2</v>
      </c>
      <c r="AN3">
        <v>3.1417E-2</v>
      </c>
      <c r="AO3">
        <v>-2.2699E-2</v>
      </c>
      <c r="AP3">
        <v>-1.2467000000000001E-2</v>
      </c>
      <c r="AQ3">
        <v>3.0453999999999998E-2</v>
      </c>
      <c r="AR3">
        <v>-1.8488000000000001E-2</v>
      </c>
      <c r="AS3">
        <v>1.298E-2</v>
      </c>
      <c r="AT3">
        <v>-8.0389999999999993E-3</v>
      </c>
      <c r="AU3">
        <v>23.469000000000001</v>
      </c>
      <c r="AV3">
        <v>6.8970000000000004E-2</v>
      </c>
      <c r="AW3">
        <v>-6.9945999999999994E-2</v>
      </c>
      <c r="AX3">
        <v>210</v>
      </c>
      <c r="AY3">
        <v>24.8</v>
      </c>
      <c r="AZ3">
        <v>21.4</v>
      </c>
      <c r="BA3">
        <v>27</v>
      </c>
      <c r="BB3">
        <v>23</v>
      </c>
      <c r="BC3">
        <v>22</v>
      </c>
      <c r="BD3">
        <v>24.451000000000001</v>
      </c>
      <c r="BE3">
        <v>25.402999999999999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-4.7E-2</v>
      </c>
      <c r="BP3">
        <v>0</v>
      </c>
      <c r="BQ3">
        <v>0</v>
      </c>
      <c r="BR3">
        <v>8.9999999999999993E-3</v>
      </c>
      <c r="BS3">
        <v>0</v>
      </c>
      <c r="BT3">
        <v>0</v>
      </c>
      <c r="BU3">
        <v>2.9170999999999999E-2</v>
      </c>
      <c r="BV3" t="s">
        <v>112</v>
      </c>
      <c r="BW3">
        <v>9.7656000000000007E-2</v>
      </c>
      <c r="BX3">
        <v>0</v>
      </c>
      <c r="BY3" t="s">
        <v>113</v>
      </c>
      <c r="BZ3" t="s">
        <v>114</v>
      </c>
      <c r="CA3" t="s">
        <v>115</v>
      </c>
      <c r="CB3" t="s">
        <v>116</v>
      </c>
      <c r="CD3" s="7"/>
      <c r="FG3" s="7"/>
    </row>
    <row r="4" spans="1:163" x14ac:dyDescent="0.25">
      <c r="A4" s="7">
        <v>43304.844444444447</v>
      </c>
      <c r="B4">
        <v>6.4271000000000003</v>
      </c>
      <c r="C4">
        <v>37.049999999999997</v>
      </c>
      <c r="D4">
        <v>0.05</v>
      </c>
      <c r="E4">
        <v>7.8774999999999998E-2</v>
      </c>
      <c r="F4">
        <v>12.558628000000001</v>
      </c>
      <c r="G4">
        <v>857.28599999999994</v>
      </c>
      <c r="H4">
        <v>856.79499999999996</v>
      </c>
      <c r="I4">
        <v>851.32100000000003</v>
      </c>
      <c r="J4">
        <v>851.73900000000003</v>
      </c>
      <c r="K4">
        <v>849.09299999999996</v>
      </c>
      <c r="L4">
        <v>854.06100000000004</v>
      </c>
      <c r="M4">
        <v>30.437000000000001</v>
      </c>
      <c r="N4">
        <v>118.152</v>
      </c>
      <c r="O4">
        <v>1.2224090000000001</v>
      </c>
      <c r="P4">
        <v>1.219123</v>
      </c>
      <c r="Q4">
        <v>1.219816</v>
      </c>
      <c r="R4">
        <v>1.2195849999999999</v>
      </c>
      <c r="S4">
        <v>1.219444</v>
      </c>
      <c r="T4">
        <v>1.218404</v>
      </c>
      <c r="U4">
        <v>1.219007</v>
      </c>
      <c r="V4">
        <v>1.218853</v>
      </c>
      <c r="W4">
        <v>1.2185319999999999</v>
      </c>
      <c r="X4">
        <v>1.218018</v>
      </c>
      <c r="Y4">
        <v>1.2180439999999999</v>
      </c>
      <c r="Z4">
        <v>1.2181470000000001</v>
      </c>
      <c r="AA4">
        <v>1.217428</v>
      </c>
      <c r="AB4">
        <v>1.217903</v>
      </c>
      <c r="AC4">
        <v>1.2176199999999999</v>
      </c>
      <c r="AD4">
        <v>1.2173890000000001</v>
      </c>
      <c r="AE4">
        <v>1.2171449999999999</v>
      </c>
      <c r="AF4">
        <v>1.2164269999999999</v>
      </c>
      <c r="AG4">
        <v>1.2167859999999999</v>
      </c>
      <c r="AH4">
        <v>1.216529</v>
      </c>
      <c r="AI4">
        <v>1.2162850000000001</v>
      </c>
      <c r="AJ4">
        <v>1.216208</v>
      </c>
      <c r="AK4">
        <v>1.216337</v>
      </c>
      <c r="AL4">
        <v>1.2161310000000001</v>
      </c>
      <c r="AM4">
        <v>1.2159390000000001</v>
      </c>
      <c r="AN4">
        <v>1.2155020000000001</v>
      </c>
      <c r="AO4">
        <v>1.2148220000000001</v>
      </c>
      <c r="AP4">
        <v>1.214</v>
      </c>
      <c r="AQ4">
        <v>1.2117659999999999</v>
      </c>
      <c r="AR4">
        <v>1.2095579999999999</v>
      </c>
      <c r="AS4">
        <v>1.1867939999999999</v>
      </c>
      <c r="AT4">
        <v>0.15790899999999999</v>
      </c>
      <c r="AU4">
        <v>31.172000000000001</v>
      </c>
      <c r="AV4">
        <v>-2.5267000000000001E-2</v>
      </c>
      <c r="AW4">
        <v>-0.97252700000000003</v>
      </c>
      <c r="AX4">
        <v>210</v>
      </c>
      <c r="AY4">
        <v>850.1</v>
      </c>
      <c r="AZ4">
        <v>30.8</v>
      </c>
      <c r="BA4">
        <v>151</v>
      </c>
      <c r="BB4">
        <v>150</v>
      </c>
      <c r="BC4">
        <v>151</v>
      </c>
      <c r="BD4">
        <v>32.252000000000002</v>
      </c>
      <c r="BE4">
        <v>32.573999999999998</v>
      </c>
      <c r="BF4">
        <v>59.4</v>
      </c>
      <c r="BG4">
        <v>0</v>
      </c>
      <c r="BH4">
        <v>0</v>
      </c>
      <c r="BI4">
        <v>0</v>
      </c>
      <c r="BJ4">
        <v>31</v>
      </c>
      <c r="BK4">
        <v>0</v>
      </c>
      <c r="BL4">
        <v>0</v>
      </c>
      <c r="BM4">
        <v>6.1980000000000004</v>
      </c>
      <c r="BN4">
        <v>0</v>
      </c>
      <c r="BO4">
        <v>-4.1000000000000002E-2</v>
      </c>
      <c r="BP4">
        <v>0</v>
      </c>
      <c r="BQ4">
        <v>0</v>
      </c>
      <c r="BR4">
        <v>8.9999999999999993E-3</v>
      </c>
      <c r="BS4">
        <v>1.8974999999999999E-2</v>
      </c>
      <c r="BT4">
        <v>0.70303599999999999</v>
      </c>
      <c r="BU4">
        <v>4.4542999999999999E-2</v>
      </c>
      <c r="BV4" t="s">
        <v>112</v>
      </c>
      <c r="BW4">
        <v>9.7656000000000007E-2</v>
      </c>
      <c r="BX4">
        <v>0.20843200000000001</v>
      </c>
      <c r="BY4">
        <v>0.17405599999999999</v>
      </c>
      <c r="BZ4" t="s">
        <v>117</v>
      </c>
      <c r="CA4" t="s">
        <v>115</v>
      </c>
      <c r="CD4" s="7"/>
      <c r="FG4" s="7"/>
    </row>
    <row r="5" spans="1:163" x14ac:dyDescent="0.25">
      <c r="A5" s="7">
        <v>43304.844444444447</v>
      </c>
      <c r="B5">
        <v>6.4271000000000003</v>
      </c>
      <c r="C5">
        <v>37.049999999999997</v>
      </c>
      <c r="D5">
        <v>0.05</v>
      </c>
      <c r="E5">
        <v>7.8774999999999998E-2</v>
      </c>
      <c r="F5">
        <v>12.558628000000001</v>
      </c>
      <c r="G5">
        <v>857.28599999999994</v>
      </c>
      <c r="H5">
        <v>856.79499999999996</v>
      </c>
      <c r="I5">
        <v>851.32100000000003</v>
      </c>
      <c r="J5">
        <v>851.73900000000003</v>
      </c>
      <c r="K5">
        <v>849.09299999999996</v>
      </c>
      <c r="L5">
        <v>854.06100000000004</v>
      </c>
      <c r="M5">
        <v>30.437000000000001</v>
      </c>
      <c r="N5">
        <v>118.152</v>
      </c>
      <c r="O5">
        <v>1.2224090000000001</v>
      </c>
      <c r="P5">
        <v>1.219123</v>
      </c>
      <c r="Q5">
        <v>1.219816</v>
      </c>
      <c r="R5">
        <v>1.2195849999999999</v>
      </c>
      <c r="S5">
        <v>1.219444</v>
      </c>
      <c r="T5">
        <v>1.218404</v>
      </c>
      <c r="U5">
        <v>1.219007</v>
      </c>
      <c r="V5">
        <v>1.218853</v>
      </c>
      <c r="W5">
        <v>1.2185319999999999</v>
      </c>
      <c r="X5">
        <v>1.218018</v>
      </c>
      <c r="Y5">
        <v>1.2180439999999999</v>
      </c>
      <c r="Z5">
        <v>1.2181470000000001</v>
      </c>
      <c r="AA5">
        <v>1.217428</v>
      </c>
      <c r="AB5">
        <v>1.217903</v>
      </c>
      <c r="AC5">
        <v>1.2176199999999999</v>
      </c>
      <c r="AD5">
        <v>1.2173890000000001</v>
      </c>
      <c r="AE5">
        <v>1.2171449999999999</v>
      </c>
      <c r="AF5">
        <v>1.2164269999999999</v>
      </c>
      <c r="AG5">
        <v>1.2167859999999999</v>
      </c>
      <c r="AH5">
        <v>1.216529</v>
      </c>
      <c r="AI5">
        <v>1.2162850000000001</v>
      </c>
      <c r="AJ5">
        <v>1.216208</v>
      </c>
      <c r="AK5">
        <v>1.216337</v>
      </c>
      <c r="AL5">
        <v>1.2161310000000001</v>
      </c>
      <c r="AM5">
        <v>1.2159390000000001</v>
      </c>
      <c r="AN5">
        <v>1.2155020000000001</v>
      </c>
      <c r="AO5">
        <v>1.2148220000000001</v>
      </c>
      <c r="AP5">
        <v>1.214</v>
      </c>
      <c r="AQ5">
        <v>1.2117659999999999</v>
      </c>
      <c r="AR5">
        <v>1.2095579999999999</v>
      </c>
      <c r="AS5">
        <v>1.1867939999999999</v>
      </c>
      <c r="AT5">
        <v>0.15790899999999999</v>
      </c>
      <c r="AU5">
        <v>31.172000000000001</v>
      </c>
      <c r="AV5">
        <v>-2.5267000000000001E-2</v>
      </c>
      <c r="AW5">
        <v>-0.97252700000000003</v>
      </c>
      <c r="AX5">
        <v>210</v>
      </c>
      <c r="AY5">
        <v>850.1</v>
      </c>
      <c r="AZ5">
        <v>30.8</v>
      </c>
      <c r="BA5">
        <v>151</v>
      </c>
      <c r="BB5">
        <v>150</v>
      </c>
      <c r="BC5">
        <v>151</v>
      </c>
      <c r="BD5">
        <v>32.252000000000002</v>
      </c>
      <c r="BE5">
        <v>32.573999999999998</v>
      </c>
      <c r="BF5">
        <v>59.4</v>
      </c>
      <c r="BG5">
        <v>0</v>
      </c>
      <c r="BH5">
        <v>0</v>
      </c>
      <c r="BI5">
        <v>0</v>
      </c>
      <c r="BJ5">
        <v>31</v>
      </c>
      <c r="BK5">
        <v>0</v>
      </c>
      <c r="BL5">
        <v>0</v>
      </c>
      <c r="BM5">
        <v>6.1980000000000004</v>
      </c>
      <c r="BN5">
        <v>0</v>
      </c>
      <c r="BO5">
        <v>-4.1000000000000002E-2</v>
      </c>
      <c r="BP5">
        <v>0</v>
      </c>
      <c r="BQ5">
        <v>0</v>
      </c>
      <c r="BR5">
        <v>8.9999999999999993E-3</v>
      </c>
      <c r="BS5">
        <v>1.8974999999999999E-2</v>
      </c>
      <c r="BT5">
        <v>0.70303599999999999</v>
      </c>
      <c r="BU5">
        <v>4.4542999999999999E-2</v>
      </c>
      <c r="BV5" t="s">
        <v>112</v>
      </c>
      <c r="BW5">
        <v>9.7656000000000007E-2</v>
      </c>
      <c r="BX5">
        <v>0.20843200000000001</v>
      </c>
      <c r="BY5">
        <v>0.17405599999999999</v>
      </c>
      <c r="BZ5" t="s">
        <v>117</v>
      </c>
      <c r="CA5" t="s">
        <v>115</v>
      </c>
      <c r="CB5" t="s">
        <v>118</v>
      </c>
      <c r="CD5" s="7"/>
      <c r="FG5" s="7"/>
    </row>
    <row r="6" spans="1:163" x14ac:dyDescent="0.25">
      <c r="A6" s="7">
        <v>43304.856944444444</v>
      </c>
      <c r="B6">
        <v>6.7287999999999997</v>
      </c>
      <c r="C6">
        <v>37.950000000000003</v>
      </c>
      <c r="D6">
        <v>8.9999999999999993E-3</v>
      </c>
      <c r="E6">
        <v>7.8377000000000002E-2</v>
      </c>
      <c r="F6">
        <v>12.544226999999999</v>
      </c>
      <c r="G6">
        <v>857.89099999999996</v>
      </c>
      <c r="H6">
        <v>857.52099999999996</v>
      </c>
      <c r="I6">
        <v>851.98099999999999</v>
      </c>
      <c r="J6">
        <v>852.57600000000002</v>
      </c>
      <c r="K6">
        <v>852.923</v>
      </c>
      <c r="L6">
        <v>854.8</v>
      </c>
      <c r="M6">
        <v>30.263000000000002</v>
      </c>
      <c r="N6">
        <v>125.953</v>
      </c>
      <c r="O6">
        <v>1.2560340000000001</v>
      </c>
      <c r="P6">
        <v>1.249987</v>
      </c>
      <c r="Q6">
        <v>1.2507189999999999</v>
      </c>
      <c r="R6">
        <v>1.250167</v>
      </c>
      <c r="S6">
        <v>1.2499100000000001</v>
      </c>
      <c r="T6">
        <v>1.2485489999999999</v>
      </c>
      <c r="U6">
        <v>1.2490760000000001</v>
      </c>
      <c r="V6">
        <v>1.2485489999999999</v>
      </c>
      <c r="W6">
        <v>1.2482150000000001</v>
      </c>
      <c r="X6">
        <v>1.2466870000000001</v>
      </c>
      <c r="Y6">
        <v>1.2474829999999999</v>
      </c>
      <c r="Z6">
        <v>1.247663</v>
      </c>
      <c r="AA6">
        <v>1.2460329999999999</v>
      </c>
      <c r="AB6">
        <v>1.2466109999999999</v>
      </c>
      <c r="AC6">
        <v>1.2462120000000001</v>
      </c>
      <c r="AD6">
        <v>1.245879</v>
      </c>
      <c r="AE6">
        <v>1.2449030000000001</v>
      </c>
      <c r="AF6">
        <v>1.2431570000000001</v>
      </c>
      <c r="AG6">
        <v>1.243722</v>
      </c>
      <c r="AH6">
        <v>1.2433879999999999</v>
      </c>
      <c r="AI6">
        <v>1.2430030000000001</v>
      </c>
      <c r="AJ6">
        <v>1.2425919999999999</v>
      </c>
      <c r="AK6">
        <v>1.2429509999999999</v>
      </c>
      <c r="AL6">
        <v>1.2420910000000001</v>
      </c>
      <c r="AM6">
        <v>1.24186</v>
      </c>
      <c r="AN6">
        <v>1.2409490000000001</v>
      </c>
      <c r="AO6">
        <v>1.2389840000000001</v>
      </c>
      <c r="AP6">
        <v>1.2370840000000001</v>
      </c>
      <c r="AQ6">
        <v>1.232526</v>
      </c>
      <c r="AR6">
        <v>1.2283660000000001</v>
      </c>
      <c r="AS6">
        <v>1.1975020000000001</v>
      </c>
      <c r="AT6">
        <v>0.158717</v>
      </c>
      <c r="AU6">
        <v>31.08</v>
      </c>
      <c r="AV6">
        <v>-2.528E-2</v>
      </c>
      <c r="AW6">
        <v>-0.98210500000000001</v>
      </c>
      <c r="AX6">
        <v>210</v>
      </c>
      <c r="AY6">
        <v>850</v>
      </c>
      <c r="AZ6">
        <v>30.7</v>
      </c>
      <c r="BA6">
        <v>150</v>
      </c>
      <c r="BB6">
        <v>151</v>
      </c>
      <c r="BC6">
        <v>152</v>
      </c>
      <c r="BD6">
        <v>32.052999999999997</v>
      </c>
      <c r="BE6">
        <v>33.045999999999999</v>
      </c>
      <c r="BF6">
        <v>59</v>
      </c>
      <c r="BG6">
        <v>0</v>
      </c>
      <c r="BH6">
        <v>0</v>
      </c>
      <c r="BI6">
        <v>0</v>
      </c>
      <c r="BJ6">
        <v>28</v>
      </c>
      <c r="BK6">
        <v>0</v>
      </c>
      <c r="BL6">
        <v>0</v>
      </c>
      <c r="BM6">
        <v>6.1980000000000004</v>
      </c>
      <c r="BN6">
        <v>0</v>
      </c>
      <c r="BO6">
        <v>-4.4999999999999998E-2</v>
      </c>
      <c r="BP6">
        <v>0</v>
      </c>
      <c r="BQ6">
        <v>0</v>
      </c>
      <c r="BR6">
        <v>1.2999999999999999E-2</v>
      </c>
      <c r="BS6">
        <v>3.4160000000000002E-3</v>
      </c>
      <c r="BT6">
        <v>0.12962000000000001</v>
      </c>
      <c r="BU6">
        <v>4.4220000000000002E-2</v>
      </c>
      <c r="BV6" t="s">
        <v>112</v>
      </c>
      <c r="BW6">
        <v>9.7656000000000007E-2</v>
      </c>
      <c r="BX6">
        <v>3.7548999999999999E-2</v>
      </c>
      <c r="BY6">
        <v>3.1329999999999997E-2</v>
      </c>
      <c r="BZ6" t="s">
        <v>119</v>
      </c>
      <c r="CA6" t="s">
        <v>115</v>
      </c>
      <c r="CB6" t="s">
        <v>120</v>
      </c>
      <c r="CD6" s="7"/>
      <c r="FG6" s="7"/>
    </row>
    <row r="7" spans="1:163" x14ac:dyDescent="0.25">
      <c r="A7" s="7">
        <v>43304.867361111108</v>
      </c>
      <c r="B7">
        <v>6.9779</v>
      </c>
      <c r="C7">
        <v>38.1</v>
      </c>
      <c r="D7">
        <v>2.5000000000000001E-2</v>
      </c>
      <c r="E7">
        <v>7.8153E-2</v>
      </c>
      <c r="F7">
        <v>37.356853999999998</v>
      </c>
      <c r="G7">
        <v>856.66200000000003</v>
      </c>
      <c r="H7">
        <v>859.35599999999999</v>
      </c>
      <c r="I7">
        <v>852.13699999999994</v>
      </c>
      <c r="J7">
        <v>851.95299999999997</v>
      </c>
      <c r="K7">
        <v>854.74900000000002</v>
      </c>
      <c r="L7">
        <v>854.69799999999998</v>
      </c>
      <c r="M7">
        <v>30.157</v>
      </c>
      <c r="N7">
        <v>128.79499999999999</v>
      </c>
      <c r="O7">
        <v>1.2596810000000001</v>
      </c>
      <c r="P7">
        <v>1.2539290000000001</v>
      </c>
      <c r="Q7">
        <v>1.2543519999999999</v>
      </c>
      <c r="R7">
        <v>1.2537229999999999</v>
      </c>
      <c r="S7">
        <v>1.2533890000000001</v>
      </c>
      <c r="T7">
        <v>1.2522340000000001</v>
      </c>
      <c r="U7">
        <v>1.2524649999999999</v>
      </c>
      <c r="V7">
        <v>1.2518100000000001</v>
      </c>
      <c r="W7">
        <v>1.251579</v>
      </c>
      <c r="X7">
        <v>1.2498199999999999</v>
      </c>
      <c r="Y7">
        <v>1.250796</v>
      </c>
      <c r="Z7">
        <v>1.2510140000000001</v>
      </c>
      <c r="AA7">
        <v>1.249371</v>
      </c>
      <c r="AB7">
        <v>1.249692</v>
      </c>
      <c r="AC7">
        <v>1.249371</v>
      </c>
      <c r="AD7">
        <v>1.2491140000000001</v>
      </c>
      <c r="AE7">
        <v>1.2478819999999999</v>
      </c>
      <c r="AF7">
        <v>1.2460329999999999</v>
      </c>
      <c r="AG7">
        <v>1.246572</v>
      </c>
      <c r="AH7">
        <v>1.246302</v>
      </c>
      <c r="AI7">
        <v>1.24593</v>
      </c>
      <c r="AJ7">
        <v>1.245455</v>
      </c>
      <c r="AK7">
        <v>1.2458659999999999</v>
      </c>
      <c r="AL7">
        <v>1.2448520000000001</v>
      </c>
      <c r="AM7">
        <v>1.244672</v>
      </c>
      <c r="AN7">
        <v>1.243825</v>
      </c>
      <c r="AO7">
        <v>1.2416670000000001</v>
      </c>
      <c r="AP7">
        <v>1.2396389999999999</v>
      </c>
      <c r="AQ7">
        <v>1.2349909999999999</v>
      </c>
      <c r="AR7">
        <v>1.230742</v>
      </c>
      <c r="AS7">
        <v>1.19808</v>
      </c>
      <c r="AT7">
        <v>0.65567500000000001</v>
      </c>
      <c r="AU7">
        <v>31.047999999999998</v>
      </c>
      <c r="AV7">
        <v>-2.5203E-2</v>
      </c>
      <c r="AW7">
        <v>-0.98681700000000006</v>
      </c>
      <c r="AX7">
        <v>210</v>
      </c>
      <c r="AY7">
        <v>849.8</v>
      </c>
      <c r="AZ7">
        <v>30.5</v>
      </c>
      <c r="BA7">
        <v>149</v>
      </c>
      <c r="BB7">
        <v>152</v>
      </c>
      <c r="BC7">
        <v>151</v>
      </c>
      <c r="BD7">
        <v>32.063000000000002</v>
      </c>
      <c r="BE7">
        <v>30.962</v>
      </c>
      <c r="BF7">
        <v>73.400000000000006</v>
      </c>
      <c r="BG7">
        <v>0</v>
      </c>
      <c r="BH7">
        <v>393</v>
      </c>
      <c r="BI7">
        <v>0</v>
      </c>
      <c r="BJ7">
        <v>28</v>
      </c>
      <c r="BK7">
        <v>0</v>
      </c>
      <c r="BL7">
        <v>0</v>
      </c>
      <c r="BM7">
        <v>6.2060000000000004</v>
      </c>
      <c r="BN7">
        <v>0</v>
      </c>
      <c r="BO7">
        <v>-4.1000000000000002E-2</v>
      </c>
      <c r="BP7">
        <v>0</v>
      </c>
      <c r="BQ7">
        <v>0</v>
      </c>
      <c r="BR7">
        <v>1.2999999999999999E-2</v>
      </c>
      <c r="BS7">
        <v>9.4879999999999999E-3</v>
      </c>
      <c r="BT7">
        <v>0.36148000000000002</v>
      </c>
      <c r="BU7">
        <v>4.3920000000000001E-2</v>
      </c>
      <c r="BV7" t="s">
        <v>112</v>
      </c>
      <c r="BW7">
        <v>9.7656000000000007E-2</v>
      </c>
      <c r="BX7">
        <v>3.5048000000000003E-2</v>
      </c>
      <c r="BY7">
        <v>8.6915999999999993E-2</v>
      </c>
      <c r="BZ7" t="s">
        <v>119</v>
      </c>
      <c r="CA7" t="s">
        <v>115</v>
      </c>
      <c r="CB7" t="s">
        <v>121</v>
      </c>
      <c r="CD7" s="7"/>
      <c r="FG7" s="7"/>
    </row>
    <row r="8" spans="1:163" x14ac:dyDescent="0.25">
      <c r="A8" s="7">
        <v>43304.874305555553</v>
      </c>
      <c r="B8">
        <v>7.1482999999999999</v>
      </c>
      <c r="C8">
        <v>38.700000000000003</v>
      </c>
      <c r="D8">
        <v>4.2999999999999997E-2</v>
      </c>
      <c r="E8">
        <v>0.17038700000000001</v>
      </c>
      <c r="F8">
        <v>37.452376000000001</v>
      </c>
      <c r="G8">
        <v>856.96600000000001</v>
      </c>
      <c r="H8">
        <v>859.726</v>
      </c>
      <c r="I8">
        <v>851.29200000000003</v>
      </c>
      <c r="J8">
        <v>852.84699999999998</v>
      </c>
      <c r="K8">
        <v>856.34</v>
      </c>
      <c r="L8">
        <v>854.09199999999998</v>
      </c>
      <c r="M8">
        <v>30.088999999999999</v>
      </c>
      <c r="N8">
        <v>131.46100000000001</v>
      </c>
      <c r="O8">
        <v>1.281507</v>
      </c>
      <c r="P8">
        <v>1.2747919999999999</v>
      </c>
      <c r="Q8">
        <v>1.2757160000000001</v>
      </c>
      <c r="R8">
        <v>1.27528</v>
      </c>
      <c r="S8">
        <v>1.27501</v>
      </c>
      <c r="T8">
        <v>1.273277</v>
      </c>
      <c r="U8">
        <v>1.273906</v>
      </c>
      <c r="V8">
        <v>1.2733920000000001</v>
      </c>
      <c r="W8">
        <v>1.2730589999999999</v>
      </c>
      <c r="X8">
        <v>1.271415</v>
      </c>
      <c r="Y8">
        <v>1.27207</v>
      </c>
      <c r="Z8">
        <v>1.2725070000000001</v>
      </c>
      <c r="AA8">
        <v>1.2708120000000001</v>
      </c>
      <c r="AB8">
        <v>1.2713509999999999</v>
      </c>
      <c r="AC8">
        <v>1.271056</v>
      </c>
      <c r="AD8">
        <v>1.2708759999999999</v>
      </c>
      <c r="AE8">
        <v>1.2699</v>
      </c>
      <c r="AF8">
        <v>1.2680389999999999</v>
      </c>
      <c r="AG8">
        <v>1.268886</v>
      </c>
      <c r="AH8">
        <v>1.2679229999999999</v>
      </c>
      <c r="AI8">
        <v>1.2685519999999999</v>
      </c>
      <c r="AJ8">
        <v>1.268257</v>
      </c>
      <c r="AK8">
        <v>1.2689630000000001</v>
      </c>
      <c r="AL8">
        <v>1.268308</v>
      </c>
      <c r="AM8">
        <v>1.2683979999999999</v>
      </c>
      <c r="AN8">
        <v>1.267846</v>
      </c>
      <c r="AO8">
        <v>1.2663949999999999</v>
      </c>
      <c r="AP8">
        <v>1.265509</v>
      </c>
      <c r="AQ8">
        <v>1.2620039999999999</v>
      </c>
      <c r="AR8">
        <v>1.258589</v>
      </c>
      <c r="AS8">
        <v>1.228777</v>
      </c>
      <c r="AT8">
        <v>0.65747100000000003</v>
      </c>
      <c r="AU8">
        <v>31.023</v>
      </c>
      <c r="AV8">
        <v>-2.5100000000000001E-2</v>
      </c>
      <c r="AW8">
        <v>-1.007064</v>
      </c>
      <c r="AX8">
        <v>210</v>
      </c>
      <c r="AY8">
        <v>850</v>
      </c>
      <c r="AZ8">
        <v>30.5</v>
      </c>
      <c r="BA8">
        <v>150</v>
      </c>
      <c r="BB8">
        <v>153</v>
      </c>
      <c r="BC8">
        <v>151</v>
      </c>
      <c r="BD8">
        <v>31.988</v>
      </c>
      <c r="BE8">
        <v>31.16</v>
      </c>
      <c r="BF8">
        <v>74.8</v>
      </c>
      <c r="BG8">
        <v>0</v>
      </c>
      <c r="BH8">
        <v>221</v>
      </c>
      <c r="BI8">
        <v>0</v>
      </c>
      <c r="BJ8">
        <v>23</v>
      </c>
      <c r="BK8">
        <v>0</v>
      </c>
      <c r="BL8">
        <v>0</v>
      </c>
      <c r="BM8">
        <v>12.396000000000001</v>
      </c>
      <c r="BN8">
        <v>0</v>
      </c>
      <c r="BO8">
        <v>-3.9E-2</v>
      </c>
      <c r="BP8">
        <v>0</v>
      </c>
      <c r="BQ8">
        <v>0</v>
      </c>
      <c r="BR8">
        <v>1.0999999999999999E-2</v>
      </c>
      <c r="BS8">
        <v>1.6319E-2</v>
      </c>
      <c r="BT8">
        <v>0.63153700000000002</v>
      </c>
      <c r="BU8">
        <v>4.3534000000000003E-2</v>
      </c>
      <c r="BV8" t="s">
        <v>112</v>
      </c>
      <c r="BW8">
        <v>9.7656000000000007E-2</v>
      </c>
      <c r="BX8">
        <v>6.0132999999999999E-2</v>
      </c>
      <c r="BY8">
        <v>7.4843999999999994E-2</v>
      </c>
      <c r="BZ8" t="s">
        <v>119</v>
      </c>
      <c r="CA8" t="s">
        <v>115</v>
      </c>
      <c r="CB8" t="s">
        <v>122</v>
      </c>
      <c r="CD8" s="7"/>
      <c r="FG8" s="7"/>
    </row>
    <row r="9" spans="1:163" x14ac:dyDescent="0.25">
      <c r="A9" s="7">
        <v>43304.884722222225</v>
      </c>
      <c r="B9">
        <v>7.4006999999999996</v>
      </c>
      <c r="C9">
        <v>38.831000000000003</v>
      </c>
      <c r="D9">
        <v>0.05</v>
      </c>
      <c r="E9">
        <v>0.17094500000000001</v>
      </c>
      <c r="F9">
        <v>12.507364000000001</v>
      </c>
      <c r="G9">
        <v>859.07299999999998</v>
      </c>
      <c r="H9">
        <v>858.18</v>
      </c>
      <c r="I9">
        <v>851.16</v>
      </c>
      <c r="J9">
        <v>854.05700000000002</v>
      </c>
      <c r="K9">
        <v>857.03</v>
      </c>
      <c r="L9">
        <v>854.327</v>
      </c>
      <c r="M9">
        <v>30.055</v>
      </c>
      <c r="N9">
        <v>131.11000000000001</v>
      </c>
      <c r="O9">
        <v>1.284151</v>
      </c>
      <c r="P9">
        <v>1.277976</v>
      </c>
      <c r="Q9">
        <v>1.2786439999999999</v>
      </c>
      <c r="R9">
        <v>1.278079</v>
      </c>
      <c r="S9">
        <v>1.277809</v>
      </c>
      <c r="T9">
        <v>1.2765120000000001</v>
      </c>
      <c r="U9">
        <v>1.2766660000000001</v>
      </c>
      <c r="V9">
        <v>1.2761530000000001</v>
      </c>
      <c r="W9">
        <v>1.2758830000000001</v>
      </c>
      <c r="X9">
        <v>1.2740340000000001</v>
      </c>
      <c r="Y9">
        <v>1.2748429999999999</v>
      </c>
      <c r="Z9">
        <v>1.2753570000000001</v>
      </c>
      <c r="AA9">
        <v>1.2735339999999999</v>
      </c>
      <c r="AB9">
        <v>1.2738670000000001</v>
      </c>
      <c r="AC9">
        <v>1.273611</v>
      </c>
      <c r="AD9">
        <v>1.273636</v>
      </c>
      <c r="AE9">
        <v>1.2724679999999999</v>
      </c>
      <c r="AF9">
        <v>1.2704390000000001</v>
      </c>
      <c r="AG9">
        <v>1.27139</v>
      </c>
      <c r="AH9">
        <v>1.2673970000000001</v>
      </c>
      <c r="AI9">
        <v>1.2713000000000001</v>
      </c>
      <c r="AJ9">
        <v>1.2709269999999999</v>
      </c>
      <c r="AK9">
        <v>1.2717879999999999</v>
      </c>
      <c r="AL9">
        <v>1.270966</v>
      </c>
      <c r="AM9">
        <v>1.271274</v>
      </c>
      <c r="AN9">
        <v>1.2708120000000001</v>
      </c>
      <c r="AO9">
        <v>1.2693220000000001</v>
      </c>
      <c r="AP9">
        <v>1.2684500000000001</v>
      </c>
      <c r="AQ9">
        <v>1.2649189999999999</v>
      </c>
      <c r="AR9">
        <v>1.2614650000000001</v>
      </c>
      <c r="AS9">
        <v>1.232359</v>
      </c>
      <c r="AT9">
        <v>0.15883900000000001</v>
      </c>
      <c r="AU9">
        <v>31.123000000000001</v>
      </c>
      <c r="AV9">
        <v>-2.5190000000000001E-2</v>
      </c>
      <c r="AW9">
        <v>-1.0139450000000001</v>
      </c>
      <c r="AX9">
        <v>210</v>
      </c>
      <c r="AY9">
        <v>850.1</v>
      </c>
      <c r="AZ9">
        <v>30.3</v>
      </c>
      <c r="BA9">
        <v>149</v>
      </c>
      <c r="BB9">
        <v>154</v>
      </c>
      <c r="BC9">
        <v>151</v>
      </c>
      <c r="BD9">
        <v>31.896999999999998</v>
      </c>
      <c r="BE9">
        <v>33.707000000000001</v>
      </c>
      <c r="BF9">
        <v>60.3</v>
      </c>
      <c r="BG9">
        <v>0</v>
      </c>
      <c r="BH9">
        <v>412</v>
      </c>
      <c r="BI9">
        <v>0</v>
      </c>
      <c r="BJ9">
        <v>8</v>
      </c>
      <c r="BK9">
        <v>0</v>
      </c>
      <c r="BL9">
        <v>0</v>
      </c>
      <c r="BM9">
        <v>12.407999999999999</v>
      </c>
      <c r="BN9">
        <v>0</v>
      </c>
      <c r="BO9">
        <v>-4.1000000000000002E-2</v>
      </c>
      <c r="BP9">
        <v>0</v>
      </c>
      <c r="BQ9">
        <v>0</v>
      </c>
      <c r="BR9">
        <v>1.2E-2</v>
      </c>
      <c r="BS9">
        <v>1.8974999999999999E-2</v>
      </c>
      <c r="BT9">
        <v>0.73683100000000001</v>
      </c>
      <c r="BU9">
        <v>4.3404999999999999E-2</v>
      </c>
      <c r="BV9" t="s">
        <v>112</v>
      </c>
      <c r="BW9">
        <v>9.7656000000000007E-2</v>
      </c>
      <c r="BX9">
        <v>0.20923600000000001</v>
      </c>
      <c r="BY9">
        <v>8.6943999999999994E-2</v>
      </c>
      <c r="BZ9" t="s">
        <v>119</v>
      </c>
      <c r="CA9" t="s">
        <v>115</v>
      </c>
      <c r="CB9" t="s">
        <v>123</v>
      </c>
      <c r="CD9" s="7"/>
      <c r="FG9" s="7"/>
    </row>
    <row r="10" spans="1:163" x14ac:dyDescent="0.25">
      <c r="A10" s="7">
        <v>43304.895833333336</v>
      </c>
      <c r="B10">
        <v>7.6531000000000002</v>
      </c>
      <c r="C10">
        <v>37.078000000000003</v>
      </c>
      <c r="D10">
        <v>0.05</v>
      </c>
      <c r="E10">
        <v>3.4098000000000003E-2</v>
      </c>
      <c r="F10">
        <v>12.520661</v>
      </c>
      <c r="G10">
        <v>857.846</v>
      </c>
      <c r="H10">
        <v>857.55799999999999</v>
      </c>
      <c r="I10">
        <v>851.97799999999995</v>
      </c>
      <c r="J10">
        <v>851.85599999999999</v>
      </c>
      <c r="K10">
        <v>855.86699999999996</v>
      </c>
      <c r="L10">
        <v>854.76800000000003</v>
      </c>
      <c r="M10">
        <v>29.858000000000001</v>
      </c>
      <c r="N10">
        <v>129.39699999999999</v>
      </c>
      <c r="O10">
        <v>1.228251</v>
      </c>
      <c r="P10">
        <v>1.2269159999999999</v>
      </c>
      <c r="Q10">
        <v>1.2262869999999999</v>
      </c>
      <c r="R10">
        <v>1.2256450000000001</v>
      </c>
      <c r="S10">
        <v>1.2253240000000001</v>
      </c>
      <c r="T10">
        <v>1.225568</v>
      </c>
      <c r="U10">
        <v>1.2245919999999999</v>
      </c>
      <c r="V10">
        <v>1.2240530000000001</v>
      </c>
      <c r="W10">
        <v>1.2239370000000001</v>
      </c>
      <c r="X10">
        <v>1.2225379999999999</v>
      </c>
      <c r="Y10">
        <v>1.223347</v>
      </c>
      <c r="Z10">
        <v>1.223436</v>
      </c>
      <c r="AA10">
        <v>1.2222040000000001</v>
      </c>
      <c r="AB10">
        <v>1.221767</v>
      </c>
      <c r="AC10">
        <v>1.2215750000000001</v>
      </c>
      <c r="AD10">
        <v>1.2216260000000001</v>
      </c>
      <c r="AE10">
        <v>1.2203550000000001</v>
      </c>
      <c r="AF10">
        <v>1.21902</v>
      </c>
      <c r="AG10">
        <v>1.2192000000000001</v>
      </c>
      <c r="AH10">
        <v>1.2145140000000001</v>
      </c>
      <c r="AI10">
        <v>1.2187760000000001</v>
      </c>
      <c r="AJ10">
        <v>1.218288</v>
      </c>
      <c r="AK10">
        <v>1.2183649999999999</v>
      </c>
      <c r="AL10">
        <v>1.2173119999999999</v>
      </c>
      <c r="AM10">
        <v>1.2170559999999999</v>
      </c>
      <c r="AN10">
        <v>1.216388</v>
      </c>
      <c r="AO10">
        <v>1.214051</v>
      </c>
      <c r="AP10">
        <v>1.2115860000000001</v>
      </c>
      <c r="AQ10">
        <v>1.2065790000000001</v>
      </c>
      <c r="AR10">
        <v>1.201533</v>
      </c>
      <c r="AS10">
        <v>1.1625289999999999</v>
      </c>
      <c r="AT10">
        <v>0.159885</v>
      </c>
      <c r="AU10">
        <v>31.094999999999999</v>
      </c>
      <c r="AV10">
        <v>-2.5433999999999998E-2</v>
      </c>
      <c r="AW10">
        <v>-0.957596</v>
      </c>
      <c r="AX10">
        <v>210</v>
      </c>
      <c r="AY10">
        <v>850.1</v>
      </c>
      <c r="AZ10">
        <v>30.2</v>
      </c>
      <c r="BA10">
        <v>149</v>
      </c>
      <c r="BB10">
        <v>153</v>
      </c>
      <c r="BC10">
        <v>151</v>
      </c>
      <c r="BD10">
        <v>31.852</v>
      </c>
      <c r="BE10">
        <v>33.893000000000001</v>
      </c>
      <c r="BF10">
        <v>54.9</v>
      </c>
      <c r="BG10">
        <v>0</v>
      </c>
      <c r="BH10">
        <v>70</v>
      </c>
      <c r="BI10">
        <v>0</v>
      </c>
      <c r="BJ10">
        <v>19</v>
      </c>
      <c r="BK10">
        <v>0</v>
      </c>
      <c r="BL10">
        <v>0</v>
      </c>
      <c r="BM10">
        <v>3.1019999999999999</v>
      </c>
      <c r="BN10">
        <v>0</v>
      </c>
      <c r="BO10">
        <v>-4.1000000000000002E-2</v>
      </c>
      <c r="BP10">
        <v>0</v>
      </c>
      <c r="BQ10">
        <v>0</v>
      </c>
      <c r="BR10">
        <v>8.9999999999999993E-3</v>
      </c>
      <c r="BS10">
        <v>1.8974999999999999E-2</v>
      </c>
      <c r="BT10">
        <v>0.70356700000000005</v>
      </c>
      <c r="BU10">
        <v>4.3200000000000002E-2</v>
      </c>
      <c r="BV10" t="s">
        <v>112</v>
      </c>
      <c r="BW10">
        <v>9.7656000000000007E-2</v>
      </c>
      <c r="BX10">
        <v>0.209064</v>
      </c>
      <c r="BY10">
        <v>0.34777599999999997</v>
      </c>
      <c r="BZ10" t="s">
        <v>119</v>
      </c>
      <c r="CA10" t="s">
        <v>115</v>
      </c>
      <c r="CB10" t="s">
        <v>124</v>
      </c>
      <c r="CD10" s="7"/>
      <c r="FG10" s="7"/>
    </row>
    <row r="11" spans="1:163" x14ac:dyDescent="0.25">
      <c r="A11" s="7">
        <v>43304.951388888891</v>
      </c>
      <c r="B11">
        <v>8.9939</v>
      </c>
      <c r="C11">
        <v>29.4</v>
      </c>
      <c r="D11">
        <v>4.2999999999999997E-2</v>
      </c>
      <c r="E11">
        <v>0.21340200000000001</v>
      </c>
      <c r="F11">
        <v>12.504899</v>
      </c>
      <c r="G11">
        <v>858.32299999999998</v>
      </c>
      <c r="H11">
        <v>857.34</v>
      </c>
      <c r="I11">
        <v>851.68200000000002</v>
      </c>
      <c r="J11">
        <v>853.36800000000005</v>
      </c>
      <c r="K11">
        <v>854.90300000000002</v>
      </c>
      <c r="L11">
        <v>854.70100000000002</v>
      </c>
      <c r="M11">
        <v>70.837999999999994</v>
      </c>
      <c r="N11">
        <v>151.417</v>
      </c>
      <c r="O11">
        <v>0.96675</v>
      </c>
      <c r="P11">
        <v>0.96659600000000001</v>
      </c>
      <c r="Q11">
        <v>0.96651900000000002</v>
      </c>
      <c r="R11">
        <v>0.96641600000000005</v>
      </c>
      <c r="S11">
        <v>0.96636500000000003</v>
      </c>
      <c r="T11">
        <v>0.96628800000000004</v>
      </c>
      <c r="U11">
        <v>0.966198</v>
      </c>
      <c r="V11">
        <v>0.96614699999999998</v>
      </c>
      <c r="W11">
        <v>0.96605700000000005</v>
      </c>
      <c r="X11">
        <v>0.96599299999999999</v>
      </c>
      <c r="Y11">
        <v>0.96597999999999995</v>
      </c>
      <c r="Z11">
        <v>0.96594100000000005</v>
      </c>
      <c r="AA11">
        <v>0.96582599999999996</v>
      </c>
      <c r="AB11">
        <v>0.96582599999999996</v>
      </c>
      <c r="AC11">
        <v>0.96576099999999998</v>
      </c>
      <c r="AD11">
        <v>0.96573600000000004</v>
      </c>
      <c r="AE11">
        <v>0.96574899999999997</v>
      </c>
      <c r="AF11">
        <v>0.96570999999999996</v>
      </c>
      <c r="AG11">
        <v>0.96573600000000004</v>
      </c>
      <c r="AH11">
        <v>0.96562000000000003</v>
      </c>
      <c r="AI11">
        <v>0.96569700000000003</v>
      </c>
      <c r="AJ11">
        <v>0.96569700000000003</v>
      </c>
      <c r="AK11">
        <v>0.96567199999999997</v>
      </c>
      <c r="AL11">
        <v>0.965646</v>
      </c>
      <c r="AM11">
        <v>0.96565900000000005</v>
      </c>
      <c r="AN11">
        <v>0.96568399999999999</v>
      </c>
      <c r="AO11">
        <v>0.96567199999999997</v>
      </c>
      <c r="AP11">
        <v>0.96568399999999999</v>
      </c>
      <c r="AQ11">
        <v>0.96567199999999997</v>
      </c>
      <c r="AR11">
        <v>0.96563299999999996</v>
      </c>
      <c r="AS11">
        <v>0.96448999999999996</v>
      </c>
      <c r="AT11">
        <v>0.15893599999999999</v>
      </c>
      <c r="AU11">
        <v>30.864000000000001</v>
      </c>
      <c r="AV11">
        <v>-2.5048999999999998E-2</v>
      </c>
      <c r="AW11">
        <v>-0.76146999999999998</v>
      </c>
      <c r="AX11">
        <v>210</v>
      </c>
      <c r="AY11">
        <v>850</v>
      </c>
      <c r="AZ11">
        <v>70.3</v>
      </c>
      <c r="BA11">
        <v>150</v>
      </c>
      <c r="BB11">
        <v>150</v>
      </c>
      <c r="BC11">
        <v>150</v>
      </c>
      <c r="BD11">
        <v>31.515999999999998</v>
      </c>
      <c r="BE11">
        <v>34.137</v>
      </c>
      <c r="BF11">
        <v>59.6</v>
      </c>
      <c r="BG11">
        <v>11.5</v>
      </c>
      <c r="BH11">
        <v>0</v>
      </c>
      <c r="BI11">
        <v>14</v>
      </c>
      <c r="BJ11">
        <v>29</v>
      </c>
      <c r="BK11">
        <v>0</v>
      </c>
      <c r="BL11">
        <v>0</v>
      </c>
      <c r="BM11">
        <v>6.1980000000000004</v>
      </c>
      <c r="BN11">
        <v>0</v>
      </c>
      <c r="BO11">
        <v>-3.9E-2</v>
      </c>
      <c r="BP11">
        <v>0</v>
      </c>
      <c r="BQ11">
        <v>0</v>
      </c>
      <c r="BR11">
        <v>1.0999999999999999E-2</v>
      </c>
      <c r="BS11">
        <v>1.6319E-2</v>
      </c>
      <c r="BT11">
        <v>0.47977199999999998</v>
      </c>
      <c r="BU11">
        <v>0.46363900000000002</v>
      </c>
      <c r="BV11" t="s">
        <v>112</v>
      </c>
      <c r="BW11">
        <v>9.7656000000000007E-2</v>
      </c>
      <c r="BX11">
        <v>0.17999299999999999</v>
      </c>
      <c r="BY11">
        <v>0.14968799999999999</v>
      </c>
      <c r="BZ11" t="s">
        <v>119</v>
      </c>
      <c r="CA11" t="s">
        <v>115</v>
      </c>
      <c r="CB11" t="s">
        <v>125</v>
      </c>
      <c r="CD11" s="7"/>
      <c r="FG11" s="7"/>
    </row>
    <row r="12" spans="1:163" x14ac:dyDescent="0.25">
      <c r="A12" s="7">
        <v>43305.07708333333</v>
      </c>
      <c r="B12">
        <v>12.007099999999999</v>
      </c>
      <c r="C12">
        <v>19.05</v>
      </c>
      <c r="D12">
        <v>36</v>
      </c>
      <c r="E12">
        <v>0.46212199999999998</v>
      </c>
      <c r="F12">
        <v>37.934857999999998</v>
      </c>
      <c r="G12">
        <v>782.99900000000002</v>
      </c>
      <c r="H12">
        <v>809.822</v>
      </c>
      <c r="I12">
        <v>784.77800000000002</v>
      </c>
      <c r="J12">
        <v>811.53700000000003</v>
      </c>
      <c r="K12">
        <v>813.87300000000005</v>
      </c>
      <c r="L12">
        <v>800.15899999999999</v>
      </c>
      <c r="M12">
        <v>71.075000000000003</v>
      </c>
      <c r="N12">
        <v>153.87799999999999</v>
      </c>
      <c r="O12">
        <v>0.76412800000000003</v>
      </c>
      <c r="P12">
        <v>0.76732500000000003</v>
      </c>
      <c r="Q12">
        <v>0.78273099999999995</v>
      </c>
      <c r="R12">
        <v>0.78862399999999999</v>
      </c>
      <c r="S12">
        <v>0.79334899999999997</v>
      </c>
      <c r="T12">
        <v>0.79641700000000004</v>
      </c>
      <c r="U12">
        <v>0.80127000000000004</v>
      </c>
      <c r="V12">
        <v>0.80315800000000004</v>
      </c>
      <c r="W12">
        <v>0.80333699999999997</v>
      </c>
      <c r="X12">
        <v>0.80694500000000002</v>
      </c>
      <c r="Y12">
        <v>0.80374800000000002</v>
      </c>
      <c r="Z12">
        <v>0.80878099999999997</v>
      </c>
      <c r="AA12">
        <v>0.80964100000000006</v>
      </c>
      <c r="AB12">
        <v>0.80833200000000005</v>
      </c>
      <c r="AC12">
        <v>0.80934600000000001</v>
      </c>
      <c r="AD12">
        <v>0.80256700000000003</v>
      </c>
      <c r="AE12">
        <v>0.81015499999999996</v>
      </c>
      <c r="AF12">
        <v>0.81141300000000005</v>
      </c>
      <c r="AG12">
        <v>0.81286400000000003</v>
      </c>
      <c r="AH12">
        <v>0.808755</v>
      </c>
      <c r="AI12">
        <v>0.80871700000000002</v>
      </c>
      <c r="AJ12">
        <v>0.80843399999999999</v>
      </c>
      <c r="AK12">
        <v>0.81260699999999997</v>
      </c>
      <c r="AL12">
        <v>0.80984699999999998</v>
      </c>
      <c r="AM12">
        <v>0.81010300000000002</v>
      </c>
      <c r="AN12">
        <v>0.80775399999999997</v>
      </c>
      <c r="AO12">
        <v>0.80518599999999996</v>
      </c>
      <c r="AP12">
        <v>0.805122</v>
      </c>
      <c r="AQ12">
        <v>0.80228500000000003</v>
      </c>
      <c r="AR12">
        <v>0.79255299999999995</v>
      </c>
      <c r="AS12">
        <v>0.79209099999999999</v>
      </c>
      <c r="AT12">
        <v>0.58742099999999997</v>
      </c>
      <c r="AU12">
        <v>31.481000000000002</v>
      </c>
      <c r="AV12">
        <v>-0.80128299999999997</v>
      </c>
      <c r="AW12">
        <v>-0.87473400000000001</v>
      </c>
      <c r="AX12">
        <v>210</v>
      </c>
      <c r="AY12">
        <v>758.7</v>
      </c>
      <c r="AZ12">
        <v>70</v>
      </c>
      <c r="BA12">
        <v>150</v>
      </c>
      <c r="BB12">
        <v>150</v>
      </c>
      <c r="BC12">
        <v>150</v>
      </c>
      <c r="BD12">
        <v>31.704000000000001</v>
      </c>
      <c r="BE12">
        <v>33.046999999999997</v>
      </c>
      <c r="BF12">
        <v>46.7</v>
      </c>
      <c r="BG12">
        <v>23.9</v>
      </c>
      <c r="BH12">
        <v>0</v>
      </c>
      <c r="BI12">
        <v>10</v>
      </c>
      <c r="BJ12">
        <v>55</v>
      </c>
      <c r="BK12">
        <v>0</v>
      </c>
      <c r="BL12">
        <v>0</v>
      </c>
      <c r="BM12">
        <v>11.103999999999999</v>
      </c>
      <c r="BN12">
        <v>0</v>
      </c>
      <c r="BO12">
        <v>-5.8999999999999997E-2</v>
      </c>
      <c r="BP12">
        <v>0</v>
      </c>
      <c r="BQ12">
        <v>0</v>
      </c>
      <c r="BR12">
        <v>1.0999999999999999E-2</v>
      </c>
      <c r="BS12">
        <v>13.662239</v>
      </c>
      <c r="BT12">
        <v>260.26565499999998</v>
      </c>
      <c r="BU12">
        <v>0.45421</v>
      </c>
      <c r="BV12" t="s">
        <v>112</v>
      </c>
      <c r="BW12">
        <v>9.7656000000000007E-2</v>
      </c>
      <c r="BX12">
        <v>49.703448999999999</v>
      </c>
      <c r="BY12">
        <v>69.951008999999999</v>
      </c>
      <c r="BZ12" t="s">
        <v>119</v>
      </c>
      <c r="CA12" t="s">
        <v>115</v>
      </c>
      <c r="CB12" t="s">
        <v>126</v>
      </c>
      <c r="CD12" s="7"/>
      <c r="FG12" s="7"/>
    </row>
    <row r="13" spans="1:163" x14ac:dyDescent="0.25">
      <c r="A13" s="7">
        <v>43305.078472222223</v>
      </c>
      <c r="B13">
        <v>12.0434</v>
      </c>
      <c r="C13">
        <v>19.030999999999999</v>
      </c>
      <c r="D13">
        <v>36</v>
      </c>
      <c r="E13">
        <v>0.460781</v>
      </c>
      <c r="F13">
        <v>37.934857999999998</v>
      </c>
      <c r="G13">
        <v>783.053</v>
      </c>
      <c r="H13">
        <v>809.83199999999999</v>
      </c>
      <c r="I13">
        <v>784.76700000000005</v>
      </c>
      <c r="J13">
        <v>811.51400000000001</v>
      </c>
      <c r="K13">
        <v>813.85900000000004</v>
      </c>
      <c r="L13">
        <v>800.13800000000003</v>
      </c>
      <c r="M13">
        <v>71.022000000000006</v>
      </c>
      <c r="N13">
        <v>153.88200000000001</v>
      </c>
      <c r="O13">
        <v>0.763961</v>
      </c>
      <c r="P13">
        <v>0.76705500000000004</v>
      </c>
      <c r="Q13">
        <v>0.78246199999999999</v>
      </c>
      <c r="R13">
        <v>0.788354</v>
      </c>
      <c r="S13">
        <v>0.79298900000000005</v>
      </c>
      <c r="T13">
        <v>0.79608400000000001</v>
      </c>
      <c r="U13">
        <v>0.80094900000000002</v>
      </c>
      <c r="V13">
        <v>0.80270799999999998</v>
      </c>
      <c r="W13">
        <v>0.80290099999999998</v>
      </c>
      <c r="X13">
        <v>0.80644400000000005</v>
      </c>
      <c r="Y13">
        <v>0.80322199999999999</v>
      </c>
      <c r="Z13">
        <v>0.80825499999999995</v>
      </c>
      <c r="AA13">
        <v>0.80908899999999995</v>
      </c>
      <c r="AB13">
        <v>0.80778000000000005</v>
      </c>
      <c r="AC13">
        <v>0.80867800000000001</v>
      </c>
      <c r="AD13">
        <v>0.80193800000000004</v>
      </c>
      <c r="AE13">
        <v>0.80948699999999996</v>
      </c>
      <c r="AF13">
        <v>0.81070699999999996</v>
      </c>
      <c r="AG13">
        <v>0.81211900000000004</v>
      </c>
      <c r="AH13">
        <v>0.80801100000000003</v>
      </c>
      <c r="AI13">
        <v>0.80795899999999998</v>
      </c>
      <c r="AJ13">
        <v>0.807728</v>
      </c>
      <c r="AK13">
        <v>0.81191400000000002</v>
      </c>
      <c r="AL13">
        <v>0.80919200000000002</v>
      </c>
      <c r="AM13">
        <v>0.809423</v>
      </c>
      <c r="AN13">
        <v>0.80706100000000003</v>
      </c>
      <c r="AO13">
        <v>0.80451899999999998</v>
      </c>
      <c r="AP13">
        <v>0.80450600000000005</v>
      </c>
      <c r="AQ13">
        <v>0.80165500000000001</v>
      </c>
      <c r="AR13">
        <v>0.79187200000000002</v>
      </c>
      <c r="AS13">
        <v>0.79137199999999996</v>
      </c>
      <c r="AT13">
        <v>0.58744099999999999</v>
      </c>
      <c r="AU13">
        <v>31.491</v>
      </c>
      <c r="AV13">
        <v>-0.80114200000000002</v>
      </c>
      <c r="AW13">
        <v>-0.87325799999999998</v>
      </c>
      <c r="AX13">
        <v>210</v>
      </c>
      <c r="AY13">
        <v>758.7</v>
      </c>
      <c r="AZ13">
        <v>70</v>
      </c>
      <c r="BA13">
        <v>150</v>
      </c>
      <c r="BB13">
        <v>150</v>
      </c>
      <c r="BC13">
        <v>150</v>
      </c>
      <c r="BD13">
        <v>31.728000000000002</v>
      </c>
      <c r="BE13">
        <v>33.040999999999997</v>
      </c>
      <c r="BF13">
        <v>46.5</v>
      </c>
      <c r="BG13">
        <v>21.8</v>
      </c>
      <c r="BH13">
        <v>53</v>
      </c>
      <c r="BI13">
        <v>13</v>
      </c>
      <c r="BJ13">
        <v>42</v>
      </c>
      <c r="BK13">
        <v>0</v>
      </c>
      <c r="BL13">
        <v>0</v>
      </c>
      <c r="BM13">
        <v>11.124000000000001</v>
      </c>
      <c r="BN13">
        <v>0</v>
      </c>
      <c r="BO13">
        <v>-6.3E-2</v>
      </c>
      <c r="BP13">
        <v>0</v>
      </c>
      <c r="BQ13">
        <v>0</v>
      </c>
      <c r="BR13">
        <v>1.4999999999999999E-2</v>
      </c>
      <c r="BS13">
        <v>13.662239</v>
      </c>
      <c r="BT13">
        <v>260.00607200000002</v>
      </c>
      <c r="BU13">
        <v>0.44851000000000002</v>
      </c>
      <c r="BV13" t="s">
        <v>112</v>
      </c>
      <c r="BW13">
        <v>9.7656000000000007E-2</v>
      </c>
      <c r="BX13">
        <v>49.698210000000003</v>
      </c>
      <c r="BY13">
        <v>69.825243</v>
      </c>
      <c r="BZ13" t="s">
        <v>119</v>
      </c>
      <c r="CA13" t="s">
        <v>115</v>
      </c>
      <c r="CB13" t="s">
        <v>127</v>
      </c>
      <c r="CD13" s="7"/>
      <c r="FG13" s="7"/>
    </row>
    <row r="14" spans="1:163" x14ac:dyDescent="0.25">
      <c r="A14" s="7">
        <v>43305.082638888889</v>
      </c>
      <c r="B14">
        <v>12.144299999999999</v>
      </c>
      <c r="C14">
        <v>19.05</v>
      </c>
      <c r="D14">
        <v>36</v>
      </c>
      <c r="E14">
        <v>0.45971600000000001</v>
      </c>
      <c r="F14">
        <v>37.947952000000001</v>
      </c>
      <c r="G14">
        <v>783.06299999999999</v>
      </c>
      <c r="H14">
        <v>809.80499999999995</v>
      </c>
      <c r="I14">
        <v>784.73800000000006</v>
      </c>
      <c r="J14">
        <v>811.51099999999997</v>
      </c>
      <c r="K14">
        <v>813.82899999999995</v>
      </c>
      <c r="L14">
        <v>800.11099999999999</v>
      </c>
      <c r="M14">
        <v>70.945999999999998</v>
      </c>
      <c r="N14">
        <v>153.76400000000001</v>
      </c>
      <c r="O14">
        <v>0.76403799999999999</v>
      </c>
      <c r="P14">
        <v>0.76710599999999995</v>
      </c>
      <c r="Q14">
        <v>0.78248700000000004</v>
      </c>
      <c r="R14">
        <v>0.78840600000000005</v>
      </c>
      <c r="S14">
        <v>0.79311799999999999</v>
      </c>
      <c r="T14">
        <v>0.79608400000000001</v>
      </c>
      <c r="U14">
        <v>0.80096199999999995</v>
      </c>
      <c r="V14">
        <v>0.80281100000000005</v>
      </c>
      <c r="W14">
        <v>0.80304200000000003</v>
      </c>
      <c r="X14">
        <v>0.80658600000000003</v>
      </c>
      <c r="Y14">
        <v>0.80337599999999998</v>
      </c>
      <c r="Z14">
        <v>0.80843399999999999</v>
      </c>
      <c r="AA14">
        <v>0.80934600000000001</v>
      </c>
      <c r="AB14">
        <v>0.80803599999999998</v>
      </c>
      <c r="AC14">
        <v>0.80896100000000004</v>
      </c>
      <c r="AD14">
        <v>0.80222099999999996</v>
      </c>
      <c r="AE14">
        <v>0.80982100000000001</v>
      </c>
      <c r="AF14">
        <v>0.81107899999999999</v>
      </c>
      <c r="AG14">
        <v>0.812504</v>
      </c>
      <c r="AH14">
        <v>0.80843399999999999</v>
      </c>
      <c r="AI14">
        <v>0.80840900000000004</v>
      </c>
      <c r="AJ14">
        <v>0.80817799999999995</v>
      </c>
      <c r="AK14">
        <v>0.81235000000000002</v>
      </c>
      <c r="AL14">
        <v>0.809693</v>
      </c>
      <c r="AM14">
        <v>0.80989800000000001</v>
      </c>
      <c r="AN14">
        <v>0.80756099999999997</v>
      </c>
      <c r="AO14">
        <v>0.80507099999999998</v>
      </c>
      <c r="AP14">
        <v>0.80505800000000005</v>
      </c>
      <c r="AQ14">
        <v>0.80216900000000002</v>
      </c>
      <c r="AR14">
        <v>0.79242400000000002</v>
      </c>
      <c r="AS14">
        <v>0.79191100000000003</v>
      </c>
      <c r="AT14">
        <v>0.58671600000000002</v>
      </c>
      <c r="AU14">
        <v>31.568999999999999</v>
      </c>
      <c r="AV14">
        <v>-0.80098800000000003</v>
      </c>
      <c r="AW14">
        <v>-0.69089500000000004</v>
      </c>
      <c r="AX14">
        <v>210</v>
      </c>
      <c r="AY14">
        <v>758.7</v>
      </c>
      <c r="AZ14">
        <v>70</v>
      </c>
      <c r="BA14">
        <v>151</v>
      </c>
      <c r="BB14">
        <v>150</v>
      </c>
      <c r="BC14">
        <v>150</v>
      </c>
      <c r="BD14">
        <v>31.765000000000001</v>
      </c>
      <c r="BE14">
        <v>33.084000000000003</v>
      </c>
      <c r="BF14">
        <v>46.7</v>
      </c>
      <c r="BG14">
        <v>22.3</v>
      </c>
      <c r="BH14">
        <v>0</v>
      </c>
      <c r="BI14">
        <v>8</v>
      </c>
      <c r="BJ14">
        <v>37</v>
      </c>
      <c r="BK14">
        <v>0</v>
      </c>
      <c r="BL14">
        <v>0</v>
      </c>
      <c r="BM14">
        <v>11.108000000000001</v>
      </c>
      <c r="BN14">
        <v>0</v>
      </c>
      <c r="BO14">
        <v>-6.3E-2</v>
      </c>
      <c r="BP14">
        <v>0</v>
      </c>
      <c r="BQ14">
        <v>0</v>
      </c>
      <c r="BR14">
        <v>1.0999999999999999E-2</v>
      </c>
      <c r="BS14">
        <v>13.662239</v>
      </c>
      <c r="BT14">
        <v>260.26565499999998</v>
      </c>
      <c r="BU14">
        <v>0.45016499999999998</v>
      </c>
      <c r="BV14" t="s">
        <v>112</v>
      </c>
      <c r="BW14">
        <v>9.7656000000000007E-2</v>
      </c>
      <c r="BX14">
        <v>49.686303000000002</v>
      </c>
      <c r="BY14">
        <v>69.925819000000004</v>
      </c>
      <c r="BZ14" t="s">
        <v>128</v>
      </c>
      <c r="CA14" t="s">
        <v>129</v>
      </c>
      <c r="CB14" t="s">
        <v>130</v>
      </c>
      <c r="CD14" s="7"/>
      <c r="FG14" s="7"/>
    </row>
    <row r="15" spans="1:163" x14ac:dyDescent="0.25">
      <c r="A15" s="7">
        <v>43305.086111111108</v>
      </c>
      <c r="B15">
        <v>12.227399999999999</v>
      </c>
      <c r="C15">
        <v>18.917999999999999</v>
      </c>
      <c r="D15">
        <v>36</v>
      </c>
      <c r="E15">
        <v>0.46309</v>
      </c>
      <c r="F15">
        <v>34.542842</v>
      </c>
      <c r="G15">
        <v>784.12099999999998</v>
      </c>
      <c r="H15">
        <v>809.327</v>
      </c>
      <c r="I15">
        <v>784.71500000000003</v>
      </c>
      <c r="J15">
        <v>812.56200000000001</v>
      </c>
      <c r="K15">
        <v>813.94100000000003</v>
      </c>
      <c r="L15">
        <v>800.26199999999994</v>
      </c>
      <c r="M15">
        <v>71.123999999999995</v>
      </c>
      <c r="N15">
        <v>153.75399999999999</v>
      </c>
      <c r="O15">
        <v>0.76316499999999998</v>
      </c>
      <c r="P15">
        <v>0.76638700000000004</v>
      </c>
      <c r="Q15">
        <v>0.78181999999999996</v>
      </c>
      <c r="R15">
        <v>0.78777699999999995</v>
      </c>
      <c r="S15">
        <v>0.79244999999999999</v>
      </c>
      <c r="T15">
        <v>0.79554400000000003</v>
      </c>
      <c r="U15">
        <v>0.80039700000000003</v>
      </c>
      <c r="V15">
        <v>0.80228500000000003</v>
      </c>
      <c r="W15">
        <v>0.80246399999999996</v>
      </c>
      <c r="X15">
        <v>0.80599500000000002</v>
      </c>
      <c r="Y15">
        <v>0.80278499999999997</v>
      </c>
      <c r="Z15">
        <v>0.80781800000000004</v>
      </c>
      <c r="AA15">
        <v>0.808666</v>
      </c>
      <c r="AB15">
        <v>0.80729200000000001</v>
      </c>
      <c r="AC15">
        <v>0.80824200000000002</v>
      </c>
      <c r="AD15">
        <v>0.80154000000000003</v>
      </c>
      <c r="AE15">
        <v>0.80911500000000003</v>
      </c>
      <c r="AF15">
        <v>0.81033500000000003</v>
      </c>
      <c r="AG15">
        <v>0.81176000000000004</v>
      </c>
      <c r="AH15">
        <v>0.80769000000000002</v>
      </c>
      <c r="AI15">
        <v>0.80759999999999998</v>
      </c>
      <c r="AJ15">
        <v>0.80732999999999999</v>
      </c>
      <c r="AK15">
        <v>0.81152899999999994</v>
      </c>
      <c r="AL15">
        <v>0.80884500000000004</v>
      </c>
      <c r="AM15">
        <v>0.80912799999999996</v>
      </c>
      <c r="AN15">
        <v>0.80680399999999997</v>
      </c>
      <c r="AO15">
        <v>0.80426200000000003</v>
      </c>
      <c r="AP15">
        <v>0.80426200000000003</v>
      </c>
      <c r="AQ15">
        <v>0.80138600000000004</v>
      </c>
      <c r="AR15">
        <v>0.79160299999999995</v>
      </c>
      <c r="AS15">
        <v>0.79111500000000001</v>
      </c>
      <c r="AT15">
        <v>0.52041199999999999</v>
      </c>
      <c r="AU15">
        <v>31.54</v>
      </c>
      <c r="AV15">
        <v>-0.80067999999999995</v>
      </c>
      <c r="AW15">
        <v>-0.69184599999999996</v>
      </c>
      <c r="AX15">
        <v>210</v>
      </c>
      <c r="AY15">
        <v>758.7</v>
      </c>
      <c r="AZ15">
        <v>70</v>
      </c>
      <c r="BA15">
        <v>150</v>
      </c>
      <c r="BB15">
        <v>150</v>
      </c>
      <c r="BC15">
        <v>150</v>
      </c>
      <c r="BD15">
        <v>31.707999999999998</v>
      </c>
      <c r="BE15">
        <v>33.238999999999997</v>
      </c>
      <c r="BF15">
        <v>45.8</v>
      </c>
      <c r="BG15">
        <v>19.899999999999999</v>
      </c>
      <c r="BH15">
        <v>407</v>
      </c>
      <c r="BI15">
        <v>12</v>
      </c>
      <c r="BJ15">
        <v>10</v>
      </c>
      <c r="BK15">
        <v>0</v>
      </c>
      <c r="BL15">
        <v>0</v>
      </c>
      <c r="BM15">
        <v>11.103999999999999</v>
      </c>
      <c r="BN15">
        <v>0</v>
      </c>
      <c r="BO15">
        <v>-6.0999999999999999E-2</v>
      </c>
      <c r="BP15">
        <v>0</v>
      </c>
      <c r="BQ15">
        <v>0</v>
      </c>
      <c r="BR15">
        <v>1.2E-2</v>
      </c>
      <c r="BS15">
        <v>13.662239</v>
      </c>
      <c r="BT15">
        <v>258.46223900000001</v>
      </c>
      <c r="BU15">
        <v>0.453009</v>
      </c>
      <c r="BV15" t="s">
        <v>112</v>
      </c>
      <c r="BW15">
        <v>9.7656000000000007E-2</v>
      </c>
      <c r="BX15">
        <v>54.581063</v>
      </c>
      <c r="BY15">
        <v>69.951008999999999</v>
      </c>
      <c r="BZ15" t="s">
        <v>128</v>
      </c>
      <c r="CA15" t="s">
        <v>129</v>
      </c>
      <c r="CB15" t="s">
        <v>131</v>
      </c>
      <c r="CD15" s="7"/>
      <c r="FG15" s="7"/>
    </row>
    <row r="16" spans="1:163" x14ac:dyDescent="0.25">
      <c r="A16" s="7">
        <v>43305.089583333334</v>
      </c>
      <c r="B16">
        <v>12.3124</v>
      </c>
      <c r="C16">
        <v>18.899999999999999</v>
      </c>
      <c r="D16">
        <v>36</v>
      </c>
      <c r="E16">
        <v>0.46059499999999998</v>
      </c>
      <c r="F16">
        <v>31.518788000000001</v>
      </c>
      <c r="G16">
        <v>785.41899999999998</v>
      </c>
      <c r="H16">
        <v>808.976</v>
      </c>
      <c r="I16">
        <v>784.83600000000001</v>
      </c>
      <c r="J16">
        <v>813.88499999999999</v>
      </c>
      <c r="K16">
        <v>814.15</v>
      </c>
      <c r="L16">
        <v>800.63499999999999</v>
      </c>
      <c r="M16">
        <v>70.906999999999996</v>
      </c>
      <c r="N16">
        <v>153.81399999999999</v>
      </c>
      <c r="O16">
        <v>0.762382</v>
      </c>
      <c r="P16">
        <v>0.76575800000000005</v>
      </c>
      <c r="Q16">
        <v>0.78125500000000003</v>
      </c>
      <c r="R16">
        <v>0.78721200000000002</v>
      </c>
      <c r="S16">
        <v>0.79189799999999999</v>
      </c>
      <c r="T16">
        <v>0.795095</v>
      </c>
      <c r="U16">
        <v>0.799871</v>
      </c>
      <c r="V16">
        <v>0.80175799999999997</v>
      </c>
      <c r="W16">
        <v>0.80197600000000002</v>
      </c>
      <c r="X16">
        <v>0.80553300000000005</v>
      </c>
      <c r="Y16">
        <v>0.80242599999999997</v>
      </c>
      <c r="Z16">
        <v>0.80738200000000004</v>
      </c>
      <c r="AA16">
        <v>0.80822899999999998</v>
      </c>
      <c r="AB16">
        <v>0.80693199999999998</v>
      </c>
      <c r="AC16">
        <v>0.80788199999999999</v>
      </c>
      <c r="AD16">
        <v>0.80114200000000002</v>
      </c>
      <c r="AE16">
        <v>0.80865299999999996</v>
      </c>
      <c r="AF16">
        <v>0.809859</v>
      </c>
      <c r="AG16">
        <v>0.81133599999999995</v>
      </c>
      <c r="AH16">
        <v>0.80721500000000002</v>
      </c>
      <c r="AI16">
        <v>0.80712499999999998</v>
      </c>
      <c r="AJ16">
        <v>0.80685499999999999</v>
      </c>
      <c r="AK16">
        <v>0.81105400000000005</v>
      </c>
      <c r="AL16">
        <v>0.80831900000000001</v>
      </c>
      <c r="AM16">
        <v>0.80844700000000003</v>
      </c>
      <c r="AN16">
        <v>0.80617499999999997</v>
      </c>
      <c r="AO16">
        <v>0.80368399999999995</v>
      </c>
      <c r="AP16">
        <v>0.80354300000000001</v>
      </c>
      <c r="AQ16">
        <v>0.80064100000000005</v>
      </c>
      <c r="AR16">
        <v>0.79081999999999997</v>
      </c>
      <c r="AS16">
        <v>0.79030599999999995</v>
      </c>
      <c r="AT16">
        <v>0.46209</v>
      </c>
      <c r="AU16">
        <v>31.553000000000001</v>
      </c>
      <c r="AV16">
        <v>-0.80024300000000004</v>
      </c>
      <c r="AW16">
        <v>-0.68567</v>
      </c>
      <c r="AX16">
        <v>210</v>
      </c>
      <c r="AY16">
        <v>758.8</v>
      </c>
      <c r="AZ16">
        <v>69.900000000000006</v>
      </c>
      <c r="BA16">
        <v>150</v>
      </c>
      <c r="BB16">
        <v>150</v>
      </c>
      <c r="BC16">
        <v>150</v>
      </c>
      <c r="BD16">
        <v>31.670999999999999</v>
      </c>
      <c r="BE16">
        <v>33.502000000000002</v>
      </c>
      <c r="BF16">
        <v>44.2</v>
      </c>
      <c r="BG16">
        <v>31.4</v>
      </c>
      <c r="BH16">
        <v>219</v>
      </c>
      <c r="BI16">
        <v>12</v>
      </c>
      <c r="BJ16">
        <v>18</v>
      </c>
      <c r="BK16">
        <v>0</v>
      </c>
      <c r="BL16">
        <v>0</v>
      </c>
      <c r="BM16">
        <v>11.132</v>
      </c>
      <c r="BN16">
        <v>0</v>
      </c>
      <c r="BO16">
        <v>-5.8999999999999997E-2</v>
      </c>
      <c r="BP16">
        <v>0</v>
      </c>
      <c r="BQ16">
        <v>0</v>
      </c>
      <c r="BR16">
        <v>1.6E-2</v>
      </c>
      <c r="BS16">
        <v>13.662239</v>
      </c>
      <c r="BT16">
        <v>258.216319</v>
      </c>
      <c r="BU16">
        <v>0.451683</v>
      </c>
      <c r="BV16" t="s">
        <v>112</v>
      </c>
      <c r="BW16">
        <v>9.7656000000000007E-2</v>
      </c>
      <c r="BX16">
        <v>59.808235000000003</v>
      </c>
      <c r="BY16">
        <v>69.775063000000003</v>
      </c>
      <c r="BZ16" t="s">
        <v>128</v>
      </c>
      <c r="CA16" t="s">
        <v>129</v>
      </c>
      <c r="CB16" t="s">
        <v>132</v>
      </c>
      <c r="CD16" s="7"/>
      <c r="FG16" s="7"/>
    </row>
    <row r="17" spans="1:163" x14ac:dyDescent="0.25">
      <c r="A17" s="7">
        <v>43305.093055555553</v>
      </c>
      <c r="B17">
        <v>12.3955</v>
      </c>
      <c r="C17">
        <v>18.899999999999999</v>
      </c>
      <c r="D17">
        <v>36</v>
      </c>
      <c r="E17">
        <v>0.46024199999999998</v>
      </c>
      <c r="F17">
        <v>29.161836000000001</v>
      </c>
      <c r="G17">
        <v>786.49199999999996</v>
      </c>
      <c r="H17">
        <v>808.59100000000001</v>
      </c>
      <c r="I17">
        <v>785.01400000000001</v>
      </c>
      <c r="J17">
        <v>815.04200000000003</v>
      </c>
      <c r="K17">
        <v>814.35500000000002</v>
      </c>
      <c r="L17">
        <v>801.06899999999996</v>
      </c>
      <c r="M17">
        <v>71.034999999999997</v>
      </c>
      <c r="N17">
        <v>153.87799999999999</v>
      </c>
      <c r="O17">
        <v>0.76150899999999999</v>
      </c>
      <c r="P17">
        <v>0.764872</v>
      </c>
      <c r="Q17">
        <v>0.78039400000000003</v>
      </c>
      <c r="R17">
        <v>0.786416</v>
      </c>
      <c r="S17">
        <v>0.79114099999999998</v>
      </c>
      <c r="T17">
        <v>0.79435</v>
      </c>
      <c r="U17">
        <v>0.79916500000000001</v>
      </c>
      <c r="V17">
        <v>0.80112899999999998</v>
      </c>
      <c r="W17">
        <v>0.80139899999999997</v>
      </c>
      <c r="X17">
        <v>0.80498099999999995</v>
      </c>
      <c r="Y17">
        <v>0.80195099999999997</v>
      </c>
      <c r="Z17">
        <v>0.80691999999999997</v>
      </c>
      <c r="AA17">
        <v>0.80778000000000005</v>
      </c>
      <c r="AB17">
        <v>0.806419</v>
      </c>
      <c r="AC17">
        <v>0.80735599999999996</v>
      </c>
      <c r="AD17">
        <v>0.80060299999999995</v>
      </c>
      <c r="AE17">
        <v>0.80812600000000001</v>
      </c>
      <c r="AF17">
        <v>0.80923</v>
      </c>
      <c r="AG17">
        <v>0.81068099999999998</v>
      </c>
      <c r="AH17">
        <v>0.80654700000000001</v>
      </c>
      <c r="AI17">
        <v>0.80639300000000003</v>
      </c>
      <c r="AJ17">
        <v>0.80613599999999996</v>
      </c>
      <c r="AK17">
        <v>0.81038600000000005</v>
      </c>
      <c r="AL17">
        <v>0.80762599999999996</v>
      </c>
      <c r="AM17">
        <v>0.80778000000000005</v>
      </c>
      <c r="AN17">
        <v>0.80552000000000001</v>
      </c>
      <c r="AO17">
        <v>0.80308100000000004</v>
      </c>
      <c r="AP17">
        <v>0.80296500000000004</v>
      </c>
      <c r="AQ17">
        <v>0.80003800000000003</v>
      </c>
      <c r="AR17">
        <v>0.79021600000000003</v>
      </c>
      <c r="AS17">
        <v>0.78965099999999999</v>
      </c>
      <c r="AT17">
        <v>0.41700199999999998</v>
      </c>
      <c r="AU17">
        <v>31.617000000000001</v>
      </c>
      <c r="AV17">
        <v>-0.79974299999999998</v>
      </c>
      <c r="AW17">
        <v>-0.695017</v>
      </c>
      <c r="AX17">
        <v>210</v>
      </c>
      <c r="AY17">
        <v>758.8</v>
      </c>
      <c r="AZ17">
        <v>70</v>
      </c>
      <c r="BA17">
        <v>150</v>
      </c>
      <c r="BB17">
        <v>150</v>
      </c>
      <c r="BC17">
        <v>150</v>
      </c>
      <c r="BD17">
        <v>31.719000000000001</v>
      </c>
      <c r="BE17">
        <v>33.770000000000003</v>
      </c>
      <c r="BF17">
        <v>43</v>
      </c>
      <c r="BG17">
        <v>20.100000000000001</v>
      </c>
      <c r="BH17">
        <v>0</v>
      </c>
      <c r="BI17">
        <v>8</v>
      </c>
      <c r="BJ17">
        <v>16</v>
      </c>
      <c r="BK17">
        <v>0</v>
      </c>
      <c r="BL17">
        <v>0</v>
      </c>
      <c r="BM17">
        <v>11.12</v>
      </c>
      <c r="BN17">
        <v>0</v>
      </c>
      <c r="BO17">
        <v>-5.8999999999999997E-2</v>
      </c>
      <c r="BP17">
        <v>0</v>
      </c>
      <c r="BQ17">
        <v>0</v>
      </c>
      <c r="BR17">
        <v>1.0999999999999999E-2</v>
      </c>
      <c r="BS17">
        <v>13.662239</v>
      </c>
      <c r="BT17">
        <v>258.216319</v>
      </c>
      <c r="BU17">
        <v>0.45264300000000002</v>
      </c>
      <c r="BV17" t="s">
        <v>112</v>
      </c>
      <c r="BW17">
        <v>9.7656000000000007E-2</v>
      </c>
      <c r="BX17">
        <v>64.650554</v>
      </c>
      <c r="BY17">
        <v>69.850359999999995</v>
      </c>
      <c r="BZ17" t="s">
        <v>128</v>
      </c>
      <c r="CA17" t="s">
        <v>129</v>
      </c>
      <c r="CB17" t="s">
        <v>133</v>
      </c>
      <c r="CD17" s="7"/>
      <c r="FG17" s="7"/>
    </row>
    <row r="18" spans="1:163" x14ac:dyDescent="0.25">
      <c r="A18" s="7">
        <v>43305.09652777778</v>
      </c>
      <c r="B18">
        <v>12.480499999999999</v>
      </c>
      <c r="C18">
        <v>18.899999999999999</v>
      </c>
      <c r="D18">
        <v>36</v>
      </c>
      <c r="E18">
        <v>0.461422</v>
      </c>
      <c r="F18">
        <v>27.147677999999999</v>
      </c>
      <c r="G18">
        <v>787.47799999999995</v>
      </c>
      <c r="H18">
        <v>808.21799999999996</v>
      </c>
      <c r="I18">
        <v>785.19600000000003</v>
      </c>
      <c r="J18">
        <v>816.17499999999995</v>
      </c>
      <c r="K18">
        <v>814.61500000000001</v>
      </c>
      <c r="L18">
        <v>801.596</v>
      </c>
      <c r="M18">
        <v>70.912000000000006</v>
      </c>
      <c r="N18">
        <v>154.00299999999999</v>
      </c>
      <c r="O18">
        <v>0.76050700000000004</v>
      </c>
      <c r="P18">
        <v>0.76397400000000004</v>
      </c>
      <c r="Q18">
        <v>0.77948300000000004</v>
      </c>
      <c r="R18">
        <v>0.78549199999999997</v>
      </c>
      <c r="S18">
        <v>0.79015199999999997</v>
      </c>
      <c r="T18">
        <v>0.79337400000000002</v>
      </c>
      <c r="U18">
        <v>0.79806100000000002</v>
      </c>
      <c r="V18">
        <v>0.80002499999999999</v>
      </c>
      <c r="W18">
        <v>0.80032000000000003</v>
      </c>
      <c r="X18">
        <v>0.80382500000000001</v>
      </c>
      <c r="Y18">
        <v>0.80084699999999998</v>
      </c>
      <c r="Z18">
        <v>0.805751</v>
      </c>
      <c r="AA18">
        <v>0.80659800000000004</v>
      </c>
      <c r="AB18">
        <v>0.80528900000000003</v>
      </c>
      <c r="AC18">
        <v>0.806226</v>
      </c>
      <c r="AD18">
        <v>0.799512</v>
      </c>
      <c r="AE18">
        <v>0.80711200000000005</v>
      </c>
      <c r="AF18">
        <v>0.80828</v>
      </c>
      <c r="AG18">
        <v>0.80975699999999995</v>
      </c>
      <c r="AH18">
        <v>0.805751</v>
      </c>
      <c r="AI18">
        <v>0.80568700000000004</v>
      </c>
      <c r="AJ18">
        <v>0.805481</v>
      </c>
      <c r="AK18">
        <v>0.80974400000000002</v>
      </c>
      <c r="AL18">
        <v>0.80708599999999997</v>
      </c>
      <c r="AM18">
        <v>0.80723999999999996</v>
      </c>
      <c r="AN18">
        <v>0.80499399999999999</v>
      </c>
      <c r="AO18">
        <v>0.80257999999999996</v>
      </c>
      <c r="AP18">
        <v>0.80245200000000005</v>
      </c>
      <c r="AQ18">
        <v>0.799512</v>
      </c>
      <c r="AR18">
        <v>0.78961300000000001</v>
      </c>
      <c r="AS18">
        <v>0.78899600000000003</v>
      </c>
      <c r="AT18">
        <v>0.38019700000000001</v>
      </c>
      <c r="AU18">
        <v>31.593</v>
      </c>
      <c r="AV18">
        <v>-0.79910099999999995</v>
      </c>
      <c r="AW18">
        <v>-0.69879100000000005</v>
      </c>
      <c r="AX18">
        <v>210</v>
      </c>
      <c r="AY18">
        <v>758.8</v>
      </c>
      <c r="AZ18">
        <v>69.900000000000006</v>
      </c>
      <c r="BA18">
        <v>150</v>
      </c>
      <c r="BB18">
        <v>150</v>
      </c>
      <c r="BC18">
        <v>150</v>
      </c>
      <c r="BD18">
        <v>31.69</v>
      </c>
      <c r="BE18">
        <v>33.901000000000003</v>
      </c>
      <c r="BF18">
        <v>41.5</v>
      </c>
      <c r="BG18">
        <v>29.9</v>
      </c>
      <c r="BH18">
        <v>0</v>
      </c>
      <c r="BI18">
        <v>24</v>
      </c>
      <c r="BJ18">
        <v>21</v>
      </c>
      <c r="BK18">
        <v>0</v>
      </c>
      <c r="BL18">
        <v>0</v>
      </c>
      <c r="BM18">
        <v>11.12</v>
      </c>
      <c r="BN18">
        <v>0</v>
      </c>
      <c r="BO18">
        <v>-5.8999999999999997E-2</v>
      </c>
      <c r="BP18">
        <v>0</v>
      </c>
      <c r="BQ18">
        <v>0</v>
      </c>
      <c r="BR18">
        <v>1.2999999999999999E-2</v>
      </c>
      <c r="BS18">
        <v>13.662239</v>
      </c>
      <c r="BT18">
        <v>258.216319</v>
      </c>
      <c r="BU18">
        <v>0.44953599999999999</v>
      </c>
      <c r="BV18" t="s">
        <v>112</v>
      </c>
      <c r="BW18">
        <v>9.7656000000000007E-2</v>
      </c>
      <c r="BX18">
        <v>69.440093000000005</v>
      </c>
      <c r="BY18">
        <v>69.850359999999995</v>
      </c>
      <c r="BZ18" t="s">
        <v>128</v>
      </c>
      <c r="CA18" t="s">
        <v>129</v>
      </c>
      <c r="CB18" t="s">
        <v>134</v>
      </c>
      <c r="CD18" s="7"/>
      <c r="FG18" s="7"/>
    </row>
    <row r="19" spans="1:163" x14ac:dyDescent="0.25">
      <c r="A19" s="7">
        <v>43305.121527777781</v>
      </c>
      <c r="B19">
        <v>13.0708</v>
      </c>
      <c r="C19">
        <v>19.05</v>
      </c>
      <c r="D19">
        <v>36</v>
      </c>
      <c r="E19">
        <v>0.46411000000000002</v>
      </c>
      <c r="F19">
        <v>37.934344000000003</v>
      </c>
      <c r="G19">
        <v>783.05399999999997</v>
      </c>
      <c r="H19">
        <v>809.846</v>
      </c>
      <c r="I19">
        <v>784.88599999999997</v>
      </c>
      <c r="J19">
        <v>811.62</v>
      </c>
      <c r="K19">
        <v>813.75800000000004</v>
      </c>
      <c r="L19">
        <v>800.31500000000005</v>
      </c>
      <c r="M19">
        <v>70.902000000000001</v>
      </c>
      <c r="N19">
        <v>154.1</v>
      </c>
      <c r="O19">
        <v>0.76542399999999999</v>
      </c>
      <c r="P19">
        <v>0.76866000000000001</v>
      </c>
      <c r="Q19">
        <v>0.78381000000000001</v>
      </c>
      <c r="R19">
        <v>0.78966400000000003</v>
      </c>
      <c r="S19">
        <v>0.79425999999999997</v>
      </c>
      <c r="T19">
        <v>0.79722599999999999</v>
      </c>
      <c r="U19">
        <v>0.80213100000000004</v>
      </c>
      <c r="V19">
        <v>0.80399200000000004</v>
      </c>
      <c r="W19">
        <v>0.804172</v>
      </c>
      <c r="X19">
        <v>0.80771599999999999</v>
      </c>
      <c r="Y19">
        <v>0.80446700000000004</v>
      </c>
      <c r="Z19">
        <v>0.80952599999999997</v>
      </c>
      <c r="AA19">
        <v>0.81041200000000002</v>
      </c>
      <c r="AB19">
        <v>0.80910199999999999</v>
      </c>
      <c r="AC19">
        <v>0.81010300000000002</v>
      </c>
      <c r="AD19">
        <v>0.80329899999999999</v>
      </c>
      <c r="AE19">
        <v>0.81088700000000002</v>
      </c>
      <c r="AF19">
        <v>0.81219600000000003</v>
      </c>
      <c r="AG19">
        <v>0.81355699999999997</v>
      </c>
      <c r="AH19">
        <v>0.8095</v>
      </c>
      <c r="AI19">
        <v>0.80944899999999997</v>
      </c>
      <c r="AJ19">
        <v>0.80923</v>
      </c>
      <c r="AK19">
        <v>0.81331299999999995</v>
      </c>
      <c r="AL19">
        <v>0.81062999999999996</v>
      </c>
      <c r="AM19">
        <v>0.81084800000000001</v>
      </c>
      <c r="AN19">
        <v>0.80852400000000002</v>
      </c>
      <c r="AO19">
        <v>0.80600799999999995</v>
      </c>
      <c r="AP19">
        <v>0.80599500000000002</v>
      </c>
      <c r="AQ19">
        <v>0.80315800000000004</v>
      </c>
      <c r="AR19">
        <v>0.79350299999999996</v>
      </c>
      <c r="AS19">
        <v>0.79316900000000001</v>
      </c>
      <c r="AT19">
        <v>0.58715200000000001</v>
      </c>
      <c r="AU19">
        <v>31.678000000000001</v>
      </c>
      <c r="AV19">
        <v>-0.79731600000000002</v>
      </c>
      <c r="AW19">
        <v>-0.69844499999999998</v>
      </c>
      <c r="AX19">
        <v>210</v>
      </c>
      <c r="AY19">
        <v>758.7</v>
      </c>
      <c r="AZ19">
        <v>69.900000000000006</v>
      </c>
      <c r="BA19">
        <v>151</v>
      </c>
      <c r="BB19">
        <v>150</v>
      </c>
      <c r="BC19">
        <v>150</v>
      </c>
      <c r="BD19">
        <v>31.672999999999998</v>
      </c>
      <c r="BE19">
        <v>33.176000000000002</v>
      </c>
      <c r="BF19">
        <v>48</v>
      </c>
      <c r="BG19">
        <v>30.5</v>
      </c>
      <c r="BH19">
        <v>51</v>
      </c>
      <c r="BI19">
        <v>12</v>
      </c>
      <c r="BJ19">
        <v>15</v>
      </c>
      <c r="BK19">
        <v>0</v>
      </c>
      <c r="BL19">
        <v>0</v>
      </c>
      <c r="BM19">
        <v>11.108000000000001</v>
      </c>
      <c r="BN19">
        <v>0</v>
      </c>
      <c r="BO19">
        <v>-5.2999999999999999E-2</v>
      </c>
      <c r="BP19">
        <v>0</v>
      </c>
      <c r="BQ19">
        <v>0</v>
      </c>
      <c r="BR19">
        <v>1.2999999999999999E-2</v>
      </c>
      <c r="BS19">
        <v>13.662239</v>
      </c>
      <c r="BT19">
        <v>260.26565499999998</v>
      </c>
      <c r="BU19">
        <v>0.44806099999999999</v>
      </c>
      <c r="BV19" t="s">
        <v>112</v>
      </c>
      <c r="BW19">
        <v>9.7656000000000007E-2</v>
      </c>
      <c r="BX19">
        <v>49.701501999999998</v>
      </c>
      <c r="BY19">
        <v>69.925819000000004</v>
      </c>
      <c r="BZ19" t="s">
        <v>135</v>
      </c>
      <c r="CA19" t="s">
        <v>129</v>
      </c>
      <c r="CB19" t="s">
        <v>136</v>
      </c>
      <c r="CD19" s="7"/>
      <c r="FG19" s="7"/>
    </row>
    <row r="20" spans="1:163" x14ac:dyDescent="0.25">
      <c r="A20" s="7">
        <v>43305.125</v>
      </c>
      <c r="B20">
        <v>13.1539</v>
      </c>
      <c r="C20">
        <v>18.899999999999999</v>
      </c>
      <c r="D20">
        <v>36</v>
      </c>
      <c r="E20">
        <v>0.41943399999999997</v>
      </c>
      <c r="F20">
        <v>37.938195999999998</v>
      </c>
      <c r="G20">
        <v>782.87900000000002</v>
      </c>
      <c r="H20">
        <v>810.68499999999995</v>
      </c>
      <c r="I20">
        <v>785.87699999999995</v>
      </c>
      <c r="J20">
        <v>810.70899999999995</v>
      </c>
      <c r="K20">
        <v>813.82600000000002</v>
      </c>
      <c r="L20">
        <v>800.31700000000001</v>
      </c>
      <c r="M20">
        <v>70.897000000000006</v>
      </c>
      <c r="N20">
        <v>154.33199999999999</v>
      </c>
      <c r="O20">
        <v>0.76144400000000001</v>
      </c>
      <c r="P20">
        <v>0.76266400000000001</v>
      </c>
      <c r="Q20">
        <v>0.77790400000000004</v>
      </c>
      <c r="R20">
        <v>0.78348899999999999</v>
      </c>
      <c r="S20">
        <v>0.78793100000000005</v>
      </c>
      <c r="T20">
        <v>0.79021600000000003</v>
      </c>
      <c r="U20">
        <v>0.79519799999999996</v>
      </c>
      <c r="V20">
        <v>0.79650699999999997</v>
      </c>
      <c r="W20">
        <v>0.79658399999999996</v>
      </c>
      <c r="X20">
        <v>0.79978099999999996</v>
      </c>
      <c r="Y20">
        <v>0.79627599999999998</v>
      </c>
      <c r="Z20">
        <v>0.80119300000000004</v>
      </c>
      <c r="AA20">
        <v>0.80191199999999996</v>
      </c>
      <c r="AB20">
        <v>0.80062800000000001</v>
      </c>
      <c r="AC20">
        <v>0.80128299999999997</v>
      </c>
      <c r="AD20">
        <v>0.79419600000000001</v>
      </c>
      <c r="AE20">
        <v>0.80157800000000001</v>
      </c>
      <c r="AF20">
        <v>0.80270799999999998</v>
      </c>
      <c r="AG20">
        <v>0.80396699999999999</v>
      </c>
      <c r="AH20">
        <v>0.800153</v>
      </c>
      <c r="AI20">
        <v>0.80014099999999999</v>
      </c>
      <c r="AJ20">
        <v>0.80028200000000005</v>
      </c>
      <c r="AK20">
        <v>0.80442899999999995</v>
      </c>
      <c r="AL20">
        <v>0.802041</v>
      </c>
      <c r="AM20">
        <v>0.80224600000000001</v>
      </c>
      <c r="AN20">
        <v>0.79996100000000003</v>
      </c>
      <c r="AO20">
        <v>0.79754700000000001</v>
      </c>
      <c r="AP20">
        <v>0.79775200000000002</v>
      </c>
      <c r="AQ20">
        <v>0.79523600000000005</v>
      </c>
      <c r="AR20">
        <v>0.78541499999999997</v>
      </c>
      <c r="AS20">
        <v>0.78437400000000002</v>
      </c>
      <c r="AT20">
        <v>0.58746600000000004</v>
      </c>
      <c r="AU20">
        <v>31.681999999999999</v>
      </c>
      <c r="AV20">
        <v>-0.79722599999999999</v>
      </c>
      <c r="AW20">
        <v>-0.68690200000000001</v>
      </c>
      <c r="AX20">
        <v>210</v>
      </c>
      <c r="AY20">
        <v>758.7</v>
      </c>
      <c r="AZ20">
        <v>70</v>
      </c>
      <c r="BA20">
        <v>150</v>
      </c>
      <c r="BB20">
        <v>150</v>
      </c>
      <c r="BC20">
        <v>150</v>
      </c>
      <c r="BD20">
        <v>31.669</v>
      </c>
      <c r="BE20">
        <v>33.164000000000001</v>
      </c>
      <c r="BF20">
        <v>46.8</v>
      </c>
      <c r="BG20">
        <v>24.5</v>
      </c>
      <c r="BH20">
        <v>0</v>
      </c>
      <c r="BI20">
        <v>8</v>
      </c>
      <c r="BJ20">
        <v>29</v>
      </c>
      <c r="BK20">
        <v>0</v>
      </c>
      <c r="BL20">
        <v>0</v>
      </c>
      <c r="BM20">
        <v>10.336</v>
      </c>
      <c r="BN20">
        <v>0</v>
      </c>
      <c r="BO20">
        <v>-5.7000000000000002E-2</v>
      </c>
      <c r="BP20">
        <v>0</v>
      </c>
      <c r="BQ20">
        <v>0</v>
      </c>
      <c r="BR20">
        <v>1.4E-2</v>
      </c>
      <c r="BS20">
        <v>13.662239</v>
      </c>
      <c r="BT20">
        <v>258.216319</v>
      </c>
      <c r="BU20">
        <v>0.44719399999999998</v>
      </c>
      <c r="BV20" t="s">
        <v>112</v>
      </c>
      <c r="BW20">
        <v>9.7656000000000007E-2</v>
      </c>
      <c r="BX20">
        <v>49.695148000000003</v>
      </c>
      <c r="BY20">
        <v>75.148606999999998</v>
      </c>
      <c r="BZ20" t="s">
        <v>135</v>
      </c>
      <c r="CA20" t="s">
        <v>129</v>
      </c>
      <c r="CB20" t="s">
        <v>137</v>
      </c>
      <c r="CD20" s="7"/>
      <c r="FG20" s="7"/>
    </row>
    <row r="21" spans="1:163" x14ac:dyDescent="0.25">
      <c r="A21" s="7">
        <v>43305.128472222219</v>
      </c>
      <c r="B21">
        <v>13.238899999999999</v>
      </c>
      <c r="C21">
        <v>18.600000000000001</v>
      </c>
      <c r="D21">
        <v>36</v>
      </c>
      <c r="E21">
        <v>0.391712</v>
      </c>
      <c r="F21">
        <v>37.934857999999998</v>
      </c>
      <c r="G21">
        <v>782.59799999999996</v>
      </c>
      <c r="H21">
        <v>811.86199999999997</v>
      </c>
      <c r="I21">
        <v>786.87400000000002</v>
      </c>
      <c r="J21">
        <v>809.91800000000001</v>
      </c>
      <c r="K21">
        <v>813.92100000000005</v>
      </c>
      <c r="L21">
        <v>800.5</v>
      </c>
      <c r="M21">
        <v>71.031000000000006</v>
      </c>
      <c r="N21">
        <v>154.45099999999999</v>
      </c>
      <c r="O21">
        <v>0.75838899999999998</v>
      </c>
      <c r="P21">
        <v>0.75754100000000002</v>
      </c>
      <c r="Q21">
        <v>0.77265300000000003</v>
      </c>
      <c r="R21">
        <v>0.77804499999999999</v>
      </c>
      <c r="S21">
        <v>0.78229499999999996</v>
      </c>
      <c r="T21">
        <v>0.78371999999999997</v>
      </c>
      <c r="U21">
        <v>0.78871400000000003</v>
      </c>
      <c r="V21">
        <v>0.78948399999999996</v>
      </c>
      <c r="W21">
        <v>0.78948399999999996</v>
      </c>
      <c r="X21">
        <v>0.79214200000000001</v>
      </c>
      <c r="Y21">
        <v>0.78830299999999998</v>
      </c>
      <c r="Z21">
        <v>0.79300199999999998</v>
      </c>
      <c r="AA21">
        <v>0.79347699999999999</v>
      </c>
      <c r="AB21">
        <v>0.79224499999999998</v>
      </c>
      <c r="AC21">
        <v>0.79234700000000002</v>
      </c>
      <c r="AD21">
        <v>0.78478499999999995</v>
      </c>
      <c r="AE21">
        <v>0.79202600000000001</v>
      </c>
      <c r="AF21">
        <v>0.792848</v>
      </c>
      <c r="AG21">
        <v>0.79391400000000001</v>
      </c>
      <c r="AH21">
        <v>0.79027999999999998</v>
      </c>
      <c r="AI21">
        <v>0.790242</v>
      </c>
      <c r="AJ21">
        <v>0.79101200000000005</v>
      </c>
      <c r="AK21">
        <v>0.79539000000000004</v>
      </c>
      <c r="AL21">
        <v>0.79336200000000001</v>
      </c>
      <c r="AM21">
        <v>0.79352900000000004</v>
      </c>
      <c r="AN21">
        <v>0.79138500000000001</v>
      </c>
      <c r="AO21">
        <v>0.78911200000000004</v>
      </c>
      <c r="AP21">
        <v>0.789574</v>
      </c>
      <c r="AQ21">
        <v>0.78761000000000003</v>
      </c>
      <c r="AR21">
        <v>0.77760899999999999</v>
      </c>
      <c r="AS21">
        <v>0.77549000000000001</v>
      </c>
      <c r="AT21">
        <v>0.58784499999999995</v>
      </c>
      <c r="AU21">
        <v>31.704000000000001</v>
      </c>
      <c r="AV21">
        <v>-0.79720100000000005</v>
      </c>
      <c r="AW21">
        <v>-0.67895499999999998</v>
      </c>
      <c r="AX21">
        <v>210</v>
      </c>
      <c r="AY21">
        <v>758.7</v>
      </c>
      <c r="AZ21">
        <v>70.099999999999994</v>
      </c>
      <c r="BA21">
        <v>149</v>
      </c>
      <c r="BB21">
        <v>150</v>
      </c>
      <c r="BC21">
        <v>150</v>
      </c>
      <c r="BD21">
        <v>31.753</v>
      </c>
      <c r="BE21">
        <v>33.145000000000003</v>
      </c>
      <c r="BF21">
        <v>45.7</v>
      </c>
      <c r="BG21">
        <v>19.5</v>
      </c>
      <c r="BH21">
        <v>61</v>
      </c>
      <c r="BI21">
        <v>0</v>
      </c>
      <c r="BJ21">
        <v>12</v>
      </c>
      <c r="BK21">
        <v>0</v>
      </c>
      <c r="BL21">
        <v>0</v>
      </c>
      <c r="BM21">
        <v>9.7200000000000006</v>
      </c>
      <c r="BN21">
        <v>0</v>
      </c>
      <c r="BO21">
        <v>-5.8999999999999997E-2</v>
      </c>
      <c r="BP21">
        <v>0</v>
      </c>
      <c r="BQ21">
        <v>0</v>
      </c>
      <c r="BR21">
        <v>1.0999999999999999E-2</v>
      </c>
      <c r="BS21">
        <v>13.662239</v>
      </c>
      <c r="BT21">
        <v>254.11764700000001</v>
      </c>
      <c r="BU21">
        <v>0.45584799999999998</v>
      </c>
      <c r="BV21" t="s">
        <v>112</v>
      </c>
      <c r="BW21">
        <v>9.7656000000000007E-2</v>
      </c>
      <c r="BX21">
        <v>49.703448999999999</v>
      </c>
      <c r="BY21">
        <v>79.911111000000005</v>
      </c>
      <c r="BZ21" t="s">
        <v>135</v>
      </c>
      <c r="CA21" t="s">
        <v>129</v>
      </c>
      <c r="CB21" t="s">
        <v>138</v>
      </c>
      <c r="CD21" s="7"/>
      <c r="FG21" s="7"/>
    </row>
    <row r="22" spans="1:163" x14ac:dyDescent="0.25">
      <c r="A22" s="7">
        <v>43305.131944444445</v>
      </c>
      <c r="B22">
        <v>13.321999999999999</v>
      </c>
      <c r="C22">
        <v>18.149999999999999</v>
      </c>
      <c r="D22">
        <v>36</v>
      </c>
      <c r="E22">
        <v>0.36460700000000001</v>
      </c>
      <c r="F22">
        <v>37.939736000000003</v>
      </c>
      <c r="G22">
        <v>782.226</v>
      </c>
      <c r="H22">
        <v>813.45799999999997</v>
      </c>
      <c r="I22">
        <v>788.03099999999995</v>
      </c>
      <c r="J22">
        <v>808.97299999999996</v>
      </c>
      <c r="K22">
        <v>814.11699999999996</v>
      </c>
      <c r="L22">
        <v>800.78800000000001</v>
      </c>
      <c r="M22">
        <v>70.963999999999999</v>
      </c>
      <c r="N22">
        <v>154.52799999999999</v>
      </c>
      <c r="O22">
        <v>0.75541000000000003</v>
      </c>
      <c r="P22">
        <v>0.75166100000000002</v>
      </c>
      <c r="Q22">
        <v>0.76679799999999998</v>
      </c>
      <c r="R22">
        <v>0.77176699999999998</v>
      </c>
      <c r="S22">
        <v>0.77582399999999996</v>
      </c>
      <c r="T22">
        <v>0.77591399999999999</v>
      </c>
      <c r="U22">
        <v>0.78122899999999995</v>
      </c>
      <c r="V22">
        <v>0.78069</v>
      </c>
      <c r="W22">
        <v>0.780497</v>
      </c>
      <c r="X22">
        <v>0.78220500000000004</v>
      </c>
      <c r="Y22">
        <v>0.77766000000000002</v>
      </c>
      <c r="Z22">
        <v>0.78190999999999999</v>
      </c>
      <c r="AA22">
        <v>0.78185800000000005</v>
      </c>
      <c r="AB22">
        <v>0.78075399999999995</v>
      </c>
      <c r="AC22">
        <v>0.77990700000000002</v>
      </c>
      <c r="AD22">
        <v>0.77149699999999999</v>
      </c>
      <c r="AE22">
        <v>0.77821200000000001</v>
      </c>
      <c r="AF22">
        <v>0.77846899999999997</v>
      </c>
      <c r="AG22">
        <v>0.778918</v>
      </c>
      <c r="AH22">
        <v>0.77547699999999997</v>
      </c>
      <c r="AI22">
        <v>0.775451</v>
      </c>
      <c r="AJ22">
        <v>0.77759599999999995</v>
      </c>
      <c r="AK22">
        <v>0.78221799999999997</v>
      </c>
      <c r="AL22">
        <v>0.78086900000000004</v>
      </c>
      <c r="AM22">
        <v>0.78107499999999996</v>
      </c>
      <c r="AN22">
        <v>0.77887899999999999</v>
      </c>
      <c r="AO22">
        <v>0.77695400000000003</v>
      </c>
      <c r="AP22">
        <v>0.77792899999999998</v>
      </c>
      <c r="AQ22">
        <v>0.77699200000000002</v>
      </c>
      <c r="AR22">
        <v>0.76633600000000002</v>
      </c>
      <c r="AS22">
        <v>0.76163700000000001</v>
      </c>
      <c r="AT22">
        <v>0.58862700000000001</v>
      </c>
      <c r="AU22">
        <v>31.73</v>
      </c>
      <c r="AV22">
        <v>-0.79768899999999998</v>
      </c>
      <c r="AW22">
        <v>-0.67552699999999999</v>
      </c>
      <c r="AX22">
        <v>210</v>
      </c>
      <c r="AY22">
        <v>758.7</v>
      </c>
      <c r="AZ22">
        <v>70.099999999999994</v>
      </c>
      <c r="BA22">
        <v>150</v>
      </c>
      <c r="BB22">
        <v>150</v>
      </c>
      <c r="BC22">
        <v>150</v>
      </c>
      <c r="BD22">
        <v>31.754000000000001</v>
      </c>
      <c r="BE22">
        <v>33.061999999999998</v>
      </c>
      <c r="BF22">
        <v>44.4</v>
      </c>
      <c r="BG22">
        <v>20.8</v>
      </c>
      <c r="BH22">
        <v>139</v>
      </c>
      <c r="BI22">
        <v>0</v>
      </c>
      <c r="BJ22">
        <v>24</v>
      </c>
      <c r="BK22">
        <v>0</v>
      </c>
      <c r="BL22">
        <v>0</v>
      </c>
      <c r="BM22">
        <v>9.1750000000000007</v>
      </c>
      <c r="BN22">
        <v>0</v>
      </c>
      <c r="BO22">
        <v>-5.8999999999999997E-2</v>
      </c>
      <c r="BP22">
        <v>0</v>
      </c>
      <c r="BQ22">
        <v>0</v>
      </c>
      <c r="BR22">
        <v>1.0999999999999999E-2</v>
      </c>
      <c r="BS22">
        <v>13.662239</v>
      </c>
      <c r="BT22">
        <v>247.969639</v>
      </c>
      <c r="BU22">
        <v>0.45691599999999999</v>
      </c>
      <c r="BV22" t="s">
        <v>112</v>
      </c>
      <c r="BW22">
        <v>9.7656000000000007E-2</v>
      </c>
      <c r="BX22">
        <v>49.69706</v>
      </c>
      <c r="BY22">
        <v>84.657875000000004</v>
      </c>
      <c r="BZ22" t="s">
        <v>135</v>
      </c>
      <c r="CA22" t="s">
        <v>129</v>
      </c>
      <c r="CB22" t="s">
        <v>139</v>
      </c>
      <c r="CD22" s="7"/>
      <c r="FG22" s="7"/>
    </row>
    <row r="23" spans="1:163" x14ac:dyDescent="0.25">
      <c r="A23" s="7">
        <v>43305.135416666664</v>
      </c>
      <c r="B23">
        <v>13.4071</v>
      </c>
      <c r="C23">
        <v>17.55</v>
      </c>
      <c r="D23">
        <v>36</v>
      </c>
      <c r="E23">
        <v>0.34105600000000003</v>
      </c>
      <c r="F23">
        <v>37.941789999999997</v>
      </c>
      <c r="G23">
        <v>781.59799999999996</v>
      </c>
      <c r="H23">
        <v>816.79899999999998</v>
      </c>
      <c r="I23">
        <v>789.56</v>
      </c>
      <c r="J23">
        <v>807.524</v>
      </c>
      <c r="K23">
        <v>814.45399999999995</v>
      </c>
      <c r="L23">
        <v>801.22500000000002</v>
      </c>
      <c r="M23">
        <v>70.959000000000003</v>
      </c>
      <c r="N23">
        <v>154.63900000000001</v>
      </c>
      <c r="O23">
        <v>0.75270099999999995</v>
      </c>
      <c r="P23">
        <v>0.74435600000000002</v>
      </c>
      <c r="Q23">
        <v>0.75953099999999996</v>
      </c>
      <c r="R23">
        <v>0.76375499999999996</v>
      </c>
      <c r="S23">
        <v>0.76736300000000002</v>
      </c>
      <c r="T23">
        <v>0.76458999999999999</v>
      </c>
      <c r="U23">
        <v>0.77013600000000004</v>
      </c>
      <c r="V23">
        <v>0.76719599999999999</v>
      </c>
      <c r="W23">
        <v>0.76650300000000005</v>
      </c>
      <c r="X23">
        <v>0.76575800000000005</v>
      </c>
      <c r="Y23">
        <v>0.75956999999999997</v>
      </c>
      <c r="Z23">
        <v>0.76241999999999999</v>
      </c>
      <c r="AA23">
        <v>0.76039199999999996</v>
      </c>
      <c r="AB23">
        <v>0.76013500000000001</v>
      </c>
      <c r="AC23">
        <v>0.75577000000000005</v>
      </c>
      <c r="AD23">
        <v>0.745255</v>
      </c>
      <c r="AE23">
        <v>0.74910600000000005</v>
      </c>
      <c r="AF23">
        <v>0.74746299999999999</v>
      </c>
      <c r="AG23">
        <v>0.746282</v>
      </c>
      <c r="AH23">
        <v>0.74231499999999995</v>
      </c>
      <c r="AI23">
        <v>0.740838</v>
      </c>
      <c r="AJ23">
        <v>0.75041599999999997</v>
      </c>
      <c r="AK23">
        <v>0.75629599999999997</v>
      </c>
      <c r="AL23">
        <v>0.75677099999999997</v>
      </c>
      <c r="AM23">
        <v>0.75688699999999998</v>
      </c>
      <c r="AN23">
        <v>0.75422900000000004</v>
      </c>
      <c r="AO23">
        <v>0.75277799999999995</v>
      </c>
      <c r="AP23">
        <v>0.75643700000000003</v>
      </c>
      <c r="AQ23">
        <v>0.75849100000000003</v>
      </c>
      <c r="AR23">
        <v>0.74406099999999997</v>
      </c>
      <c r="AS23">
        <v>0.72736999999999996</v>
      </c>
      <c r="AT23">
        <v>0.59010300000000004</v>
      </c>
      <c r="AU23">
        <v>31.765000000000001</v>
      </c>
      <c r="AV23">
        <v>-0.79835599999999995</v>
      </c>
      <c r="AW23">
        <v>-0.65234000000000003</v>
      </c>
      <c r="AX23">
        <v>210</v>
      </c>
      <c r="AY23">
        <v>758.7</v>
      </c>
      <c r="AZ23">
        <v>70</v>
      </c>
      <c r="BA23">
        <v>151</v>
      </c>
      <c r="BB23">
        <v>150</v>
      </c>
      <c r="BC23">
        <v>150</v>
      </c>
      <c r="BD23">
        <v>31.731000000000002</v>
      </c>
      <c r="BE23">
        <v>33.122</v>
      </c>
      <c r="BF23">
        <v>45.4</v>
      </c>
      <c r="BG23">
        <v>18.2</v>
      </c>
      <c r="BH23">
        <v>0</v>
      </c>
      <c r="BI23">
        <v>13</v>
      </c>
      <c r="BJ23">
        <v>22</v>
      </c>
      <c r="BK23">
        <v>0</v>
      </c>
      <c r="BL23">
        <v>0</v>
      </c>
      <c r="BM23">
        <v>8.6150000000000002</v>
      </c>
      <c r="BN23">
        <v>0</v>
      </c>
      <c r="BO23">
        <v>-6.3E-2</v>
      </c>
      <c r="BP23">
        <v>0</v>
      </c>
      <c r="BQ23">
        <v>0</v>
      </c>
      <c r="BR23">
        <v>1.0999999999999999E-2</v>
      </c>
      <c r="BS23">
        <v>13.662239</v>
      </c>
      <c r="BT23">
        <v>239.77229600000001</v>
      </c>
      <c r="BU23">
        <v>0.45316200000000001</v>
      </c>
      <c r="BV23" t="s">
        <v>112</v>
      </c>
      <c r="BW23">
        <v>9.7656000000000007E-2</v>
      </c>
      <c r="BX23">
        <v>49.694369999999999</v>
      </c>
      <c r="BY23">
        <v>90.160882000000001</v>
      </c>
      <c r="BZ23" t="s">
        <v>135</v>
      </c>
      <c r="CA23" t="s">
        <v>129</v>
      </c>
      <c r="CB23" t="s">
        <v>140</v>
      </c>
      <c r="CD23" s="7"/>
      <c r="FG23" s="7"/>
    </row>
    <row r="24" spans="1:163" x14ac:dyDescent="0.25">
      <c r="A24" s="7">
        <v>43305.23541666667</v>
      </c>
      <c r="B24">
        <v>15.805999999999999</v>
      </c>
      <c r="C24">
        <v>28.95</v>
      </c>
      <c r="D24">
        <v>0.05</v>
      </c>
      <c r="E24">
        <v>0.66776199999999997</v>
      </c>
      <c r="F24">
        <v>12.534215</v>
      </c>
      <c r="G24">
        <v>848.05899999999997</v>
      </c>
      <c r="H24">
        <v>825.43200000000002</v>
      </c>
      <c r="I24">
        <v>829.03200000000004</v>
      </c>
      <c r="J24">
        <v>826.452</v>
      </c>
      <c r="K24">
        <v>833.84799999999996</v>
      </c>
      <c r="L24">
        <v>832.16899999999998</v>
      </c>
      <c r="M24">
        <v>84.685000000000002</v>
      </c>
      <c r="N24">
        <v>459.15899999999999</v>
      </c>
      <c r="O24">
        <v>0.94985399999999998</v>
      </c>
      <c r="P24">
        <v>0.951318</v>
      </c>
      <c r="Q24">
        <v>0.95231900000000003</v>
      </c>
      <c r="R24">
        <v>0.95339799999999997</v>
      </c>
      <c r="S24">
        <v>0.95428400000000002</v>
      </c>
      <c r="T24">
        <v>0.95523400000000003</v>
      </c>
      <c r="U24">
        <v>0.95584999999999998</v>
      </c>
      <c r="V24">
        <v>0.95626100000000003</v>
      </c>
      <c r="W24">
        <v>0.95690299999999995</v>
      </c>
      <c r="X24">
        <v>0.95748</v>
      </c>
      <c r="Y24">
        <v>0.95785299999999995</v>
      </c>
      <c r="Z24">
        <v>0.95822499999999999</v>
      </c>
      <c r="AA24">
        <v>0.95839200000000002</v>
      </c>
      <c r="AB24">
        <v>0.95852000000000004</v>
      </c>
      <c r="AC24">
        <v>0.95849499999999999</v>
      </c>
      <c r="AD24">
        <v>0.95809699999999998</v>
      </c>
      <c r="AE24">
        <v>0.95872599999999997</v>
      </c>
      <c r="AF24">
        <v>0.95845599999999997</v>
      </c>
      <c r="AG24">
        <v>0.95840499999999995</v>
      </c>
      <c r="AH24">
        <v>0.95818700000000001</v>
      </c>
      <c r="AI24">
        <v>0.95796800000000004</v>
      </c>
      <c r="AJ24">
        <v>0.95773699999999995</v>
      </c>
      <c r="AK24">
        <v>0.957237</v>
      </c>
      <c r="AL24">
        <v>0.95677400000000001</v>
      </c>
      <c r="AM24">
        <v>0.95615799999999995</v>
      </c>
      <c r="AN24">
        <v>0.95572199999999996</v>
      </c>
      <c r="AO24">
        <v>0.95474599999999998</v>
      </c>
      <c r="AP24">
        <v>0.95400099999999999</v>
      </c>
      <c r="AQ24">
        <v>0.95305099999999998</v>
      </c>
      <c r="AR24">
        <v>0.95197299999999996</v>
      </c>
      <c r="AS24">
        <v>0.949905</v>
      </c>
      <c r="AT24">
        <v>0.155529</v>
      </c>
      <c r="AU24">
        <v>30.824999999999999</v>
      </c>
      <c r="AV24">
        <v>-2.3354E-2</v>
      </c>
      <c r="AW24">
        <v>-0.74297000000000002</v>
      </c>
      <c r="AX24">
        <v>210</v>
      </c>
      <c r="AY24">
        <v>850</v>
      </c>
      <c r="AZ24">
        <v>84.2</v>
      </c>
      <c r="BA24">
        <v>150</v>
      </c>
      <c r="BB24">
        <v>435</v>
      </c>
      <c r="BC24">
        <v>441</v>
      </c>
      <c r="BD24">
        <v>31.271000000000001</v>
      </c>
      <c r="BE24">
        <v>36.034999999999997</v>
      </c>
      <c r="BF24">
        <v>73.400000000000006</v>
      </c>
      <c r="BG24">
        <v>31</v>
      </c>
      <c r="BH24">
        <v>0</v>
      </c>
      <c r="BI24">
        <v>101</v>
      </c>
      <c r="BJ24">
        <v>137</v>
      </c>
      <c r="BK24">
        <v>0</v>
      </c>
      <c r="BL24">
        <v>0</v>
      </c>
      <c r="BM24">
        <v>0</v>
      </c>
      <c r="BN24">
        <v>2.48184</v>
      </c>
      <c r="BO24">
        <v>0</v>
      </c>
      <c r="BP24">
        <v>0</v>
      </c>
      <c r="BQ24">
        <v>2.910094</v>
      </c>
      <c r="BR24">
        <v>1.0999999999999999E-2</v>
      </c>
      <c r="BS24">
        <v>1.8974999999999999E-2</v>
      </c>
      <c r="BT24">
        <v>0.54933600000000005</v>
      </c>
      <c r="BU24">
        <v>1.1748879999999999</v>
      </c>
      <c r="BV24">
        <v>2.5503849999999999</v>
      </c>
      <c r="BW24">
        <v>9.7656000000000007E-2</v>
      </c>
      <c r="BX24">
        <v>0.20880499999999999</v>
      </c>
      <c r="BY24">
        <v>0.108669</v>
      </c>
      <c r="BZ24" t="s">
        <v>119</v>
      </c>
      <c r="CA24" t="s">
        <v>115</v>
      </c>
      <c r="CB24" t="s">
        <v>141</v>
      </c>
      <c r="CD24" s="7"/>
      <c r="FG24" s="7"/>
    </row>
    <row r="25" spans="1:163" x14ac:dyDescent="0.25">
      <c r="A25" s="7">
        <v>43305.515277777777</v>
      </c>
      <c r="B25">
        <v>22.533999999999999</v>
      </c>
      <c r="C25">
        <v>18.75</v>
      </c>
      <c r="D25">
        <v>36</v>
      </c>
      <c r="E25">
        <v>0.72043900000000005</v>
      </c>
      <c r="F25">
        <v>32.959814000000001</v>
      </c>
      <c r="G25">
        <v>836.98400000000004</v>
      </c>
      <c r="H25">
        <v>829.101</v>
      </c>
      <c r="I25">
        <v>819.02499999999998</v>
      </c>
      <c r="J25">
        <v>851.94899999999996</v>
      </c>
      <c r="K25">
        <v>851.54100000000005</v>
      </c>
      <c r="L25">
        <v>838.88599999999997</v>
      </c>
      <c r="M25">
        <v>85.295000000000002</v>
      </c>
      <c r="N25">
        <v>462.173</v>
      </c>
      <c r="O25">
        <v>0.77692799999999995</v>
      </c>
      <c r="P25">
        <v>0.77263999999999999</v>
      </c>
      <c r="Q25">
        <v>0.78110100000000005</v>
      </c>
      <c r="R25">
        <v>0.78348899999999999</v>
      </c>
      <c r="S25">
        <v>0.78519600000000001</v>
      </c>
      <c r="T25">
        <v>0.78587700000000005</v>
      </c>
      <c r="U25">
        <v>0.78868799999999994</v>
      </c>
      <c r="V25">
        <v>0.78839300000000001</v>
      </c>
      <c r="W25">
        <v>0.78831600000000002</v>
      </c>
      <c r="X25">
        <v>0.78971599999999997</v>
      </c>
      <c r="Y25">
        <v>0.78721200000000002</v>
      </c>
      <c r="Z25">
        <v>0.79048600000000002</v>
      </c>
      <c r="AA25">
        <v>0.79069100000000003</v>
      </c>
      <c r="AB25">
        <v>0.78966400000000003</v>
      </c>
      <c r="AC25">
        <v>0.78990800000000005</v>
      </c>
      <c r="AD25">
        <v>0.78347599999999995</v>
      </c>
      <c r="AE25">
        <v>0.78988199999999997</v>
      </c>
      <c r="AF25">
        <v>0.79067799999999999</v>
      </c>
      <c r="AG25">
        <v>0.791551</v>
      </c>
      <c r="AH25">
        <v>0.78840600000000005</v>
      </c>
      <c r="AI25">
        <v>0.78790499999999997</v>
      </c>
      <c r="AJ25">
        <v>0.78804600000000002</v>
      </c>
      <c r="AK25">
        <v>0.79175700000000004</v>
      </c>
      <c r="AL25">
        <v>0.79006200000000004</v>
      </c>
      <c r="AM25">
        <v>0.79013900000000004</v>
      </c>
      <c r="AN25">
        <v>0.78837999999999997</v>
      </c>
      <c r="AO25">
        <v>0.787443</v>
      </c>
      <c r="AP25">
        <v>0.787879</v>
      </c>
      <c r="AQ25">
        <v>0.78752</v>
      </c>
      <c r="AR25">
        <v>0.78085700000000002</v>
      </c>
      <c r="AS25">
        <v>0.78065099999999998</v>
      </c>
      <c r="AT25">
        <v>0.63339400000000001</v>
      </c>
      <c r="AU25">
        <v>48.459000000000003</v>
      </c>
      <c r="AV25">
        <v>-0.74227600000000005</v>
      </c>
      <c r="AW25">
        <v>-1.0190680000000001</v>
      </c>
      <c r="AX25">
        <v>210</v>
      </c>
      <c r="AY25">
        <v>817.3</v>
      </c>
      <c r="AZ25">
        <v>84.2</v>
      </c>
      <c r="BA25">
        <v>151</v>
      </c>
      <c r="BB25">
        <v>435</v>
      </c>
      <c r="BC25">
        <v>435</v>
      </c>
      <c r="BD25">
        <v>49.99</v>
      </c>
      <c r="BE25">
        <v>149.97499999999999</v>
      </c>
      <c r="BF25">
        <v>63.4</v>
      </c>
      <c r="BG25">
        <v>33.299999999999997</v>
      </c>
      <c r="BH25">
        <v>0</v>
      </c>
      <c r="BI25">
        <v>89</v>
      </c>
      <c r="BJ25">
        <v>122</v>
      </c>
      <c r="BK25">
        <v>2.9729999999999999</v>
      </c>
      <c r="BL25">
        <v>38.463000000000001</v>
      </c>
      <c r="BM25">
        <v>0</v>
      </c>
      <c r="BN25">
        <v>2.4787759999999999</v>
      </c>
      <c r="BO25">
        <v>0</v>
      </c>
      <c r="BP25">
        <v>0</v>
      </c>
      <c r="BQ25">
        <v>2.9115899999999999</v>
      </c>
      <c r="BR25">
        <v>4.9980000000000002</v>
      </c>
      <c r="BS25">
        <v>13.662239</v>
      </c>
      <c r="BT25">
        <v>256.16698300000002</v>
      </c>
      <c r="BU25">
        <v>1.190369</v>
      </c>
      <c r="BV25">
        <v>2.5865740000000002</v>
      </c>
      <c r="BW25">
        <v>14.550781000000001</v>
      </c>
      <c r="BX25">
        <v>49.687792999999999</v>
      </c>
      <c r="BY25">
        <v>78.338663999999994</v>
      </c>
      <c r="BZ25" t="s">
        <v>119</v>
      </c>
      <c r="CA25" t="s">
        <v>115</v>
      </c>
      <c r="CB25" t="s">
        <v>1</v>
      </c>
      <c r="CD25" s="7"/>
      <c r="FG25" s="7"/>
    </row>
    <row r="26" spans="1:163" x14ac:dyDescent="0.25">
      <c r="A26" s="7"/>
    </row>
    <row r="27" spans="1:163" x14ac:dyDescent="0.25">
      <c r="A27" s="7"/>
    </row>
    <row r="28" spans="1:163" x14ac:dyDescent="0.25">
      <c r="A28" s="7"/>
    </row>
    <row r="29" spans="1:163" x14ac:dyDescent="0.25">
      <c r="A29" s="7"/>
    </row>
    <row r="30" spans="1:163" x14ac:dyDescent="0.25">
      <c r="A30" s="7"/>
    </row>
    <row r="31" spans="1:163" x14ac:dyDescent="0.25">
      <c r="A31" s="7"/>
    </row>
    <row r="32" spans="1:163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  <row r="51" spans="1:1" x14ac:dyDescent="0.25">
      <c r="A51" s="7"/>
    </row>
    <row r="52" spans="1:1" x14ac:dyDescent="0.25">
      <c r="A52" s="7"/>
    </row>
    <row r="53" spans="1:1" x14ac:dyDescent="0.25">
      <c r="A53" s="7"/>
    </row>
    <row r="54" spans="1:1" x14ac:dyDescent="0.25">
      <c r="A54" s="7"/>
    </row>
    <row r="55" spans="1:1" x14ac:dyDescent="0.25">
      <c r="A55" s="7"/>
    </row>
    <row r="56" spans="1:1" x14ac:dyDescent="0.25">
      <c r="A56" s="7"/>
    </row>
    <row r="57" spans="1:1" x14ac:dyDescent="0.25">
      <c r="A57" s="7"/>
    </row>
    <row r="58" spans="1:1" x14ac:dyDescent="0.25">
      <c r="A58" s="7"/>
    </row>
    <row r="59" spans="1:1" x14ac:dyDescent="0.25">
      <c r="A59" s="7"/>
    </row>
    <row r="60" spans="1:1" x14ac:dyDescent="0.25">
      <c r="A60" s="7"/>
    </row>
    <row r="61" spans="1:1" x14ac:dyDescent="0.25">
      <c r="A61" s="7"/>
    </row>
    <row r="62" spans="1:1" x14ac:dyDescent="0.25">
      <c r="A62" s="7"/>
    </row>
    <row r="63" spans="1:1" x14ac:dyDescent="0.25">
      <c r="A63" s="7"/>
    </row>
    <row r="64" spans="1:1" x14ac:dyDescent="0.25">
      <c r="A64" s="7"/>
    </row>
    <row r="65" spans="1:1" x14ac:dyDescent="0.25">
      <c r="A65" s="7"/>
    </row>
    <row r="66" spans="1:1" x14ac:dyDescent="0.25">
      <c r="A66" s="7"/>
    </row>
    <row r="67" spans="1:1" x14ac:dyDescent="0.25">
      <c r="A67" s="7"/>
    </row>
    <row r="68" spans="1:1" x14ac:dyDescent="0.25">
      <c r="A68" s="7"/>
    </row>
    <row r="69" spans="1:1" x14ac:dyDescent="0.25">
      <c r="A69" s="7"/>
    </row>
    <row r="70" spans="1:1" x14ac:dyDescent="0.25">
      <c r="A70" s="7"/>
    </row>
    <row r="71" spans="1:1" x14ac:dyDescent="0.25">
      <c r="A71" s="7"/>
    </row>
    <row r="72" spans="1:1" x14ac:dyDescent="0.25">
      <c r="A72" s="7"/>
    </row>
    <row r="73" spans="1:1" x14ac:dyDescent="0.25">
      <c r="A73" s="7"/>
    </row>
    <row r="74" spans="1:1" x14ac:dyDescent="0.25">
      <c r="A74" s="7"/>
    </row>
    <row r="75" spans="1:1" x14ac:dyDescent="0.25">
      <c r="A75" s="7"/>
    </row>
    <row r="76" spans="1:1" x14ac:dyDescent="0.25">
      <c r="A76" s="7"/>
    </row>
    <row r="77" spans="1:1" x14ac:dyDescent="0.25">
      <c r="A77" s="7"/>
    </row>
    <row r="78" spans="1:1" x14ac:dyDescent="0.25">
      <c r="A78" s="7"/>
    </row>
    <row r="79" spans="1:1" x14ac:dyDescent="0.25">
      <c r="A79" s="7"/>
    </row>
    <row r="80" spans="1:1" x14ac:dyDescent="0.25">
      <c r="A80" s="7"/>
    </row>
    <row r="81" spans="1:1" x14ac:dyDescent="0.25">
      <c r="A81" s="7"/>
    </row>
    <row r="82" spans="1:1" x14ac:dyDescent="0.25">
      <c r="A82" s="7"/>
    </row>
    <row r="83" spans="1:1" x14ac:dyDescent="0.25">
      <c r="A83" s="7"/>
    </row>
    <row r="84" spans="1:1" x14ac:dyDescent="0.25">
      <c r="A84" s="7"/>
    </row>
    <row r="85" spans="1:1" x14ac:dyDescent="0.25">
      <c r="A85" s="7"/>
    </row>
    <row r="86" spans="1:1" x14ac:dyDescent="0.25">
      <c r="A86" s="7"/>
    </row>
    <row r="87" spans="1:1" x14ac:dyDescent="0.25">
      <c r="A87" s="7"/>
    </row>
    <row r="88" spans="1:1" x14ac:dyDescent="0.25">
      <c r="A88" s="7"/>
    </row>
    <row r="89" spans="1:1" x14ac:dyDescent="0.25">
      <c r="A89" s="7"/>
    </row>
    <row r="90" spans="1:1" x14ac:dyDescent="0.25">
      <c r="A90" s="7"/>
    </row>
    <row r="91" spans="1:1" x14ac:dyDescent="0.25">
      <c r="A91" s="7"/>
    </row>
    <row r="92" spans="1:1" x14ac:dyDescent="0.25">
      <c r="A92" s="7"/>
    </row>
    <row r="93" spans="1:1" x14ac:dyDescent="0.25">
      <c r="A93" s="7"/>
    </row>
    <row r="94" spans="1:1" x14ac:dyDescent="0.25">
      <c r="A94" s="7"/>
    </row>
    <row r="95" spans="1:1" x14ac:dyDescent="0.25">
      <c r="A95" s="7"/>
    </row>
    <row r="96" spans="1:1" x14ac:dyDescent="0.25">
      <c r="A96" s="7"/>
    </row>
    <row r="97" spans="1:1" x14ac:dyDescent="0.25">
      <c r="A97" s="7"/>
    </row>
    <row r="98" spans="1:1" x14ac:dyDescent="0.25">
      <c r="A98" s="7"/>
    </row>
    <row r="99" spans="1:1" x14ac:dyDescent="0.25">
      <c r="A99" s="7"/>
    </row>
    <row r="100" spans="1:1" x14ac:dyDescent="0.25">
      <c r="A100" s="7"/>
    </row>
    <row r="101" spans="1:1" x14ac:dyDescent="0.25">
      <c r="A101" s="7"/>
    </row>
    <row r="102" spans="1:1" x14ac:dyDescent="0.25">
      <c r="A102" s="7"/>
    </row>
    <row r="103" spans="1:1" x14ac:dyDescent="0.25">
      <c r="A103" s="7"/>
    </row>
    <row r="104" spans="1:1" x14ac:dyDescent="0.25">
      <c r="A104" s="7"/>
    </row>
    <row r="105" spans="1:1" x14ac:dyDescent="0.25">
      <c r="A105" s="7"/>
    </row>
    <row r="106" spans="1:1" x14ac:dyDescent="0.25">
      <c r="A106" s="7"/>
    </row>
    <row r="107" spans="1:1" x14ac:dyDescent="0.25">
      <c r="A107" s="7"/>
    </row>
    <row r="108" spans="1:1" x14ac:dyDescent="0.25">
      <c r="A108" s="7"/>
    </row>
    <row r="109" spans="1:1" x14ac:dyDescent="0.25">
      <c r="A109" s="7"/>
    </row>
    <row r="110" spans="1:1" x14ac:dyDescent="0.25">
      <c r="A110" s="7"/>
    </row>
    <row r="111" spans="1:1" x14ac:dyDescent="0.25">
      <c r="A111" s="7"/>
    </row>
    <row r="112" spans="1:1" x14ac:dyDescent="0.25">
      <c r="A112" s="7"/>
    </row>
    <row r="113" spans="1:1" x14ac:dyDescent="0.25">
      <c r="A113" s="7"/>
    </row>
    <row r="114" spans="1:1" x14ac:dyDescent="0.25">
      <c r="A114" s="7"/>
    </row>
    <row r="115" spans="1:1" x14ac:dyDescent="0.25">
      <c r="A115" s="7"/>
    </row>
    <row r="116" spans="1:1" x14ac:dyDescent="0.25">
      <c r="A116" s="7"/>
    </row>
    <row r="117" spans="1:1" x14ac:dyDescent="0.25">
      <c r="A117" s="7"/>
    </row>
    <row r="118" spans="1:1" x14ac:dyDescent="0.25">
      <c r="A118" s="7"/>
    </row>
    <row r="119" spans="1:1" x14ac:dyDescent="0.25">
      <c r="A119" s="7"/>
    </row>
    <row r="120" spans="1:1" x14ac:dyDescent="0.25">
      <c r="A120" s="7"/>
    </row>
    <row r="121" spans="1:1" x14ac:dyDescent="0.25">
      <c r="A121" s="7"/>
    </row>
    <row r="122" spans="1:1" x14ac:dyDescent="0.25">
      <c r="A122" s="7"/>
    </row>
    <row r="123" spans="1:1" x14ac:dyDescent="0.25">
      <c r="A123" s="7"/>
    </row>
    <row r="124" spans="1:1" x14ac:dyDescent="0.25">
      <c r="A124" s="7"/>
    </row>
    <row r="125" spans="1:1" x14ac:dyDescent="0.25">
      <c r="A125" s="7"/>
    </row>
    <row r="126" spans="1:1" x14ac:dyDescent="0.25">
      <c r="A126" s="7"/>
    </row>
    <row r="127" spans="1:1" x14ac:dyDescent="0.25">
      <c r="A127" s="7"/>
    </row>
    <row r="128" spans="1:1" x14ac:dyDescent="0.25">
      <c r="A128" s="7"/>
    </row>
    <row r="129" spans="1:1" x14ac:dyDescent="0.25">
      <c r="A129" s="7"/>
    </row>
    <row r="130" spans="1:1" x14ac:dyDescent="0.25">
      <c r="A130" s="7"/>
    </row>
    <row r="131" spans="1:1" x14ac:dyDescent="0.25">
      <c r="A131" s="7"/>
    </row>
    <row r="132" spans="1:1" x14ac:dyDescent="0.25">
      <c r="A132" s="7"/>
    </row>
    <row r="133" spans="1:1" x14ac:dyDescent="0.25">
      <c r="A133" s="7"/>
    </row>
    <row r="134" spans="1:1" x14ac:dyDescent="0.25">
      <c r="A134" s="7"/>
    </row>
    <row r="135" spans="1:1" x14ac:dyDescent="0.25">
      <c r="A135" s="7"/>
    </row>
    <row r="136" spans="1:1" x14ac:dyDescent="0.25">
      <c r="A136" s="7"/>
    </row>
    <row r="137" spans="1:1" x14ac:dyDescent="0.25">
      <c r="A137" s="7"/>
    </row>
    <row r="138" spans="1:1" x14ac:dyDescent="0.25">
      <c r="A138" s="7"/>
    </row>
    <row r="139" spans="1:1" x14ac:dyDescent="0.25">
      <c r="A139" s="7"/>
    </row>
    <row r="140" spans="1:1" x14ac:dyDescent="0.25">
      <c r="A140" s="7"/>
    </row>
    <row r="141" spans="1:1" x14ac:dyDescent="0.25">
      <c r="A141" s="7"/>
    </row>
    <row r="142" spans="1:1" x14ac:dyDescent="0.25">
      <c r="A142" s="7"/>
    </row>
    <row r="143" spans="1:1" x14ac:dyDescent="0.25">
      <c r="A143" s="7"/>
    </row>
    <row r="144" spans="1:1" x14ac:dyDescent="0.25">
      <c r="A144" s="7"/>
    </row>
    <row r="145" spans="1:1" x14ac:dyDescent="0.25">
      <c r="A145" s="7"/>
    </row>
    <row r="146" spans="1:1" x14ac:dyDescent="0.25">
      <c r="A146" s="7"/>
    </row>
    <row r="147" spans="1:1" x14ac:dyDescent="0.25">
      <c r="A147" s="7"/>
    </row>
    <row r="148" spans="1:1" x14ac:dyDescent="0.25">
      <c r="A14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A34"/>
  <sheetViews>
    <sheetView workbookViewId="0">
      <selection sqref="A1:XFD1048576"/>
    </sheetView>
  </sheetViews>
  <sheetFormatPr defaultRowHeight="15" x14ac:dyDescent="0.25"/>
  <cols>
    <col min="1" max="1" width="14.85546875" customWidth="1"/>
    <col min="2" max="2" width="16" bestFit="1" customWidth="1"/>
    <col min="3" max="3" width="17.5703125" bestFit="1" customWidth="1"/>
    <col min="4" max="4" width="16" bestFit="1" customWidth="1"/>
    <col min="5" max="6" width="42.28515625" customWidth="1"/>
    <col min="7" max="7" width="9.85546875" bestFit="1" customWidth="1"/>
    <col min="8" max="9" width="11.140625" bestFit="1" customWidth="1"/>
    <col min="10" max="10" width="12.42578125" bestFit="1" customWidth="1"/>
    <col min="11" max="11" width="13.42578125" bestFit="1" customWidth="1"/>
    <col min="12" max="12" width="14.5703125" bestFit="1" customWidth="1"/>
    <col min="13" max="13" width="20" bestFit="1" customWidth="1"/>
    <col min="14" max="14" width="11.28515625" bestFit="1" customWidth="1"/>
    <col min="15" max="15" width="9" bestFit="1" customWidth="1"/>
    <col min="16" max="16" width="9.7109375" bestFit="1" customWidth="1"/>
    <col min="17" max="17" width="9" customWidth="1"/>
    <col min="18" max="18" width="9" bestFit="1" customWidth="1"/>
    <col min="19" max="20" width="9.7109375" bestFit="1" customWidth="1"/>
    <col min="21" max="22" width="9" bestFit="1" customWidth="1"/>
    <col min="23" max="23" width="9.7109375" bestFit="1" customWidth="1"/>
    <col min="24" max="25" width="9" bestFit="1" customWidth="1"/>
    <col min="26" max="27" width="9.7109375" bestFit="1" customWidth="1"/>
    <col min="28" max="29" width="9" bestFit="1" customWidth="1"/>
    <col min="30" max="36" width="9.7109375" bestFit="1" customWidth="1"/>
    <col min="37" max="37" width="9" bestFit="1" customWidth="1"/>
    <col min="38" max="38" width="9.7109375" bestFit="1" customWidth="1"/>
    <col min="39" max="39" width="9" customWidth="1"/>
    <col min="40" max="40" width="9" bestFit="1" customWidth="1"/>
    <col min="41" max="45" width="9.7109375" bestFit="1" customWidth="1"/>
    <col min="46" max="46" width="16.28515625" bestFit="1" customWidth="1"/>
    <col min="47" max="47" width="15.28515625" bestFit="1" customWidth="1"/>
    <col min="48" max="48" width="11.5703125" bestFit="1" customWidth="1"/>
    <col min="49" max="49" width="10.85546875" bestFit="1" customWidth="1"/>
    <col min="50" max="50" width="4.28515625" bestFit="1" customWidth="1"/>
    <col min="51" max="51" width="7" bestFit="1" customWidth="1"/>
    <col min="52" max="52" width="7.85546875" bestFit="1" customWidth="1"/>
    <col min="53" max="53" width="8.85546875" bestFit="1" customWidth="1"/>
    <col min="54" max="54" width="7.5703125" bestFit="1" customWidth="1"/>
    <col min="55" max="55" width="8.140625" bestFit="1" customWidth="1"/>
    <col min="56" max="57" width="13.7109375" bestFit="1" customWidth="1"/>
    <col min="58" max="58" width="5" bestFit="1" customWidth="1"/>
    <col min="59" max="59" width="5.42578125" bestFit="1" customWidth="1"/>
    <col min="60" max="60" width="6.42578125" bestFit="1" customWidth="1"/>
    <col min="61" max="61" width="5.140625" bestFit="1" customWidth="1"/>
    <col min="62" max="62" width="5.7109375" bestFit="1" customWidth="1"/>
    <col min="63" max="64" width="11.140625" bestFit="1" customWidth="1"/>
    <col min="65" max="65" width="12.7109375" bestFit="1" customWidth="1"/>
    <col min="66" max="66" width="14" bestFit="1" customWidth="1"/>
    <col min="67" max="67" width="12.85546875" bestFit="1" customWidth="1"/>
    <col min="68" max="68" width="19.5703125" bestFit="1" customWidth="1"/>
    <col min="69" max="69" width="14.140625" bestFit="1" customWidth="1"/>
    <col min="70" max="70" width="18.7109375" bestFit="1" customWidth="1"/>
    <col min="71" max="71" width="24.5703125" bestFit="1" customWidth="1"/>
    <col min="72" max="72" width="18.5703125" bestFit="1" customWidth="1"/>
    <col min="73" max="74" width="9" bestFit="1" customWidth="1"/>
    <col min="75" max="75" width="15.7109375" bestFit="1" customWidth="1"/>
    <col min="76" max="76" width="16.7109375" bestFit="1" customWidth="1"/>
    <col min="77" max="77" width="18.140625" bestFit="1" customWidth="1"/>
    <col min="78" max="78" width="23.5703125" bestFit="1" customWidth="1"/>
    <col min="79" max="79" width="6.28515625" bestFit="1" customWidth="1"/>
    <col min="80" max="80" width="22.85546875" bestFit="1" customWidth="1"/>
  </cols>
  <sheetData>
    <row r="3" spans="1:1" x14ac:dyDescent="0.25">
      <c r="A3" s="7"/>
    </row>
    <row r="4" spans="1:1" x14ac:dyDescent="0.25">
      <c r="A4" s="7"/>
    </row>
    <row r="5" spans="1:1" x14ac:dyDescent="0.25">
      <c r="A5" s="7"/>
    </row>
    <row r="6" spans="1:1" x14ac:dyDescent="0.25">
      <c r="A6" s="7"/>
    </row>
    <row r="7" spans="1:1" x14ac:dyDescent="0.25">
      <c r="A7" s="7"/>
    </row>
    <row r="8" spans="1:1" x14ac:dyDescent="0.25">
      <c r="A8" s="7"/>
    </row>
    <row r="9" spans="1:1" x14ac:dyDescent="0.25">
      <c r="A9" s="7"/>
    </row>
    <row r="10" spans="1:1" x14ac:dyDescent="0.25">
      <c r="A10" s="7"/>
    </row>
    <row r="11" spans="1:1" x14ac:dyDescent="0.25">
      <c r="A11" s="7"/>
    </row>
    <row r="12" spans="1:1" x14ac:dyDescent="0.25">
      <c r="A12" s="7"/>
    </row>
    <row r="13" spans="1:1" x14ac:dyDescent="0.25">
      <c r="A13" s="7"/>
    </row>
    <row r="14" spans="1:1" x14ac:dyDescent="0.25">
      <c r="A14" s="7"/>
    </row>
    <row r="15" spans="1:1" x14ac:dyDescent="0.25">
      <c r="A15" s="7"/>
    </row>
    <row r="16" spans="1:1" x14ac:dyDescent="0.25">
      <c r="A16" s="7"/>
    </row>
    <row r="17" spans="1:1" x14ac:dyDescent="0.25">
      <c r="A17" s="7"/>
    </row>
    <row r="18" spans="1:1" x14ac:dyDescent="0.25">
      <c r="A18" s="7"/>
    </row>
    <row r="19" spans="1:1" x14ac:dyDescent="0.25">
      <c r="A19" s="7"/>
    </row>
    <row r="20" spans="1:1" x14ac:dyDescent="0.25">
      <c r="A20" s="7"/>
    </row>
    <row r="21" spans="1:1" x14ac:dyDescent="0.25">
      <c r="A21" s="7"/>
    </row>
    <row r="22" spans="1:1" x14ac:dyDescent="0.25">
      <c r="A22" s="7"/>
    </row>
    <row r="23" spans="1:1" x14ac:dyDescent="0.25">
      <c r="A23" s="7"/>
    </row>
    <row r="24" spans="1:1" x14ac:dyDescent="0.25">
      <c r="A24" s="7"/>
    </row>
    <row r="25" spans="1:1" x14ac:dyDescent="0.25">
      <c r="A25" s="7"/>
    </row>
    <row r="26" spans="1:1" x14ac:dyDescent="0.25">
      <c r="A26" s="7"/>
    </row>
    <row r="27" spans="1:1" x14ac:dyDescent="0.25">
      <c r="A27" s="7"/>
    </row>
    <row r="28" spans="1:1" x14ac:dyDescent="0.25">
      <c r="A28" s="7"/>
    </row>
    <row r="29" spans="1:1" x14ac:dyDescent="0.25">
      <c r="A29" s="7"/>
    </row>
    <row r="30" spans="1:1" x14ac:dyDescent="0.25">
      <c r="A30" s="7"/>
    </row>
    <row r="31" spans="1:1" x14ac:dyDescent="0.25">
      <c r="A31" s="7"/>
    </row>
    <row r="32" spans="1:1" x14ac:dyDescent="0.25">
      <c r="A32" s="7"/>
    </row>
    <row r="33" spans="1:1" x14ac:dyDescent="0.25">
      <c r="A33" s="7"/>
    </row>
    <row r="34" spans="1:1" x14ac:dyDescent="0.25">
      <c r="A34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F7:S37"/>
  <sheetViews>
    <sheetView workbookViewId="0">
      <selection activeCell="L5" sqref="L5"/>
    </sheetView>
  </sheetViews>
  <sheetFormatPr defaultColWidth="7.7109375" defaultRowHeight="15" x14ac:dyDescent="0.25"/>
  <cols>
    <col min="6" max="6" width="22.5703125" customWidth="1"/>
    <col min="7" max="7" width="12.28515625" bestFit="1" customWidth="1"/>
    <col min="8" max="10" width="11" customWidth="1"/>
    <col min="11" max="11" width="13.140625" customWidth="1"/>
    <col min="14" max="14" width="22.5703125" customWidth="1"/>
    <col min="15" max="15" width="12.28515625" customWidth="1"/>
    <col min="16" max="16" width="12.7109375" bestFit="1" customWidth="1"/>
    <col min="17" max="18" width="11" customWidth="1"/>
    <col min="19" max="19" width="13.85546875" customWidth="1"/>
  </cols>
  <sheetData>
    <row r="7" spans="6:19" ht="15.75" thickBot="1" x14ac:dyDescent="0.3"/>
    <row r="8" spans="6:19" ht="15.75" thickBot="1" x14ac:dyDescent="0.3">
      <c r="F8" s="36" t="s">
        <v>2</v>
      </c>
      <c r="G8" s="36" t="s">
        <v>3</v>
      </c>
      <c r="H8" s="40" t="s">
        <v>4</v>
      </c>
      <c r="I8" s="37"/>
      <c r="J8" s="37"/>
      <c r="K8" s="37"/>
      <c r="N8" s="44" t="s">
        <v>2</v>
      </c>
      <c r="O8" s="44" t="s">
        <v>3</v>
      </c>
      <c r="P8" s="45" t="s">
        <v>4</v>
      </c>
      <c r="R8" s="37" t="s">
        <v>4</v>
      </c>
      <c r="S8" s="37"/>
    </row>
    <row r="9" spans="6:19" x14ac:dyDescent="0.25">
      <c r="F9" s="41" t="str">
        <f>'Load Data'!N1</f>
        <v>DM66000-001134-10</v>
      </c>
      <c r="G9" s="41" t="str">
        <f>IF(ISBLANK('R&amp;R_RawData'!A1),"",'R&amp;R_RawData'!A1)</f>
        <v>TS-9</v>
      </c>
      <c r="H9" s="42">
        <f>'R&amp;R_RawData'!A3</f>
        <v>43304.590277777781</v>
      </c>
      <c r="I9" s="38"/>
      <c r="J9" s="39"/>
      <c r="K9" s="38"/>
      <c r="N9" s="41" t="str">
        <f>file_Name</f>
        <v>DM66000-001134-10</v>
      </c>
      <c r="O9" s="41" t="str">
        <f>'R&amp;R_RawData'!A1</f>
        <v>TS-9</v>
      </c>
      <c r="P9" s="46">
        <f>'R&amp;R_RawData'!A3</f>
        <v>43304.590277777781</v>
      </c>
      <c r="Q9" s="43"/>
      <c r="R9" s="39"/>
      <c r="S9" s="38"/>
    </row>
    <row r="10" spans="6:19" x14ac:dyDescent="0.25">
      <c r="F10" s="8"/>
      <c r="G10" s="8"/>
      <c r="H10" s="8"/>
      <c r="I10" s="8"/>
      <c r="J10" s="8"/>
      <c r="K10" s="8"/>
      <c r="N10" s="8"/>
      <c r="O10" s="8"/>
      <c r="P10" s="8"/>
      <c r="Q10" s="8"/>
      <c r="R10" s="8"/>
      <c r="S10" s="8"/>
    </row>
    <row r="11" spans="6:19" ht="15.75" thickBot="1" x14ac:dyDescent="0.3">
      <c r="F11" s="8"/>
      <c r="G11" s="8"/>
      <c r="H11" s="8"/>
      <c r="I11" s="8"/>
      <c r="J11" s="8"/>
      <c r="K11" s="8"/>
      <c r="N11" s="8"/>
      <c r="O11" s="8"/>
      <c r="P11" s="8"/>
      <c r="Q11" s="8"/>
      <c r="R11" s="8"/>
      <c r="S11" s="8"/>
    </row>
    <row r="12" spans="6:19" ht="15.75" thickBot="1" x14ac:dyDescent="0.3">
      <c r="F12" s="9" t="s">
        <v>5</v>
      </c>
      <c r="G12" s="10" t="s">
        <v>6</v>
      </c>
      <c r="H12" s="10" t="s">
        <v>7</v>
      </c>
      <c r="I12" s="10" t="s">
        <v>8</v>
      </c>
      <c r="J12" s="10" t="s">
        <v>9</v>
      </c>
      <c r="K12" s="11" t="s">
        <v>10</v>
      </c>
      <c r="N12" s="33" t="s">
        <v>5</v>
      </c>
      <c r="O12" s="34" t="s">
        <v>6</v>
      </c>
      <c r="P12" s="34" t="s">
        <v>7</v>
      </c>
      <c r="Q12" s="34" t="s">
        <v>8</v>
      </c>
      <c r="R12" s="34" t="s">
        <v>9</v>
      </c>
      <c r="S12" s="35" t="s">
        <v>10</v>
      </c>
    </row>
    <row r="13" spans="6:19" x14ac:dyDescent="0.25">
      <c r="F13" s="47" t="s">
        <v>11</v>
      </c>
      <c r="G13" s="12" t="s">
        <v>12</v>
      </c>
      <c r="H13" s="13">
        <v>860</v>
      </c>
      <c r="I13" s="13">
        <v>834</v>
      </c>
      <c r="J13" s="14">
        <v>857.34</v>
      </c>
      <c r="K13" s="15"/>
      <c r="N13" s="47" t="s">
        <v>11</v>
      </c>
      <c r="O13" s="12" t="s">
        <v>12</v>
      </c>
      <c r="P13" s="13">
        <v>860</v>
      </c>
      <c r="Q13" s="13">
        <v>834</v>
      </c>
      <c r="R13" s="14"/>
      <c r="S13" s="15"/>
    </row>
    <row r="14" spans="6:19" x14ac:dyDescent="0.25">
      <c r="F14" s="48"/>
      <c r="G14" s="16" t="s">
        <v>13</v>
      </c>
      <c r="H14" s="17">
        <v>0.253</v>
      </c>
      <c r="I14" s="17">
        <v>0.13900000000000001</v>
      </c>
      <c r="J14" s="18">
        <v>0.21340200000000001</v>
      </c>
      <c r="K14" s="19"/>
      <c r="N14" s="48"/>
      <c r="O14" s="16" t="s">
        <v>13</v>
      </c>
      <c r="P14" s="17">
        <v>0.253</v>
      </c>
      <c r="Q14" s="17">
        <v>0.13900000000000001</v>
      </c>
      <c r="R14" s="18"/>
      <c r="S14" s="19"/>
    </row>
    <row r="15" spans="6:19" x14ac:dyDescent="0.25">
      <c r="F15" s="48"/>
      <c r="G15" s="16" t="s">
        <v>14</v>
      </c>
      <c r="H15" s="17">
        <v>73.69</v>
      </c>
      <c r="I15" s="20">
        <v>68.900000000000006</v>
      </c>
      <c r="J15" s="20">
        <v>70.837999999999994</v>
      </c>
      <c r="K15" s="19"/>
      <c r="N15" s="48"/>
      <c r="O15" s="16" t="s">
        <v>14</v>
      </c>
      <c r="P15" s="17">
        <v>73.69</v>
      </c>
      <c r="Q15" s="20">
        <v>68.900000000000006</v>
      </c>
      <c r="R15" s="20"/>
      <c r="S15" s="19"/>
    </row>
    <row r="16" spans="6:19" x14ac:dyDescent="0.25">
      <c r="F16" s="48"/>
      <c r="G16" s="16" t="s">
        <v>15</v>
      </c>
      <c r="H16" s="17">
        <v>0.56100000000000005</v>
      </c>
      <c r="I16" s="17">
        <v>0.375</v>
      </c>
      <c r="J16" s="18">
        <v>0.46363900000000002</v>
      </c>
      <c r="K16" s="19"/>
      <c r="N16" s="48"/>
      <c r="O16" s="16" t="s">
        <v>15</v>
      </c>
      <c r="P16" s="17">
        <v>0.56100000000000005</v>
      </c>
      <c r="Q16" s="17">
        <v>0.375</v>
      </c>
      <c r="R16" s="18"/>
      <c r="S16" s="19"/>
    </row>
    <row r="17" spans="6:19" x14ac:dyDescent="0.25">
      <c r="F17" s="48"/>
      <c r="G17" s="16" t="s">
        <v>16</v>
      </c>
      <c r="H17" s="29"/>
      <c r="I17" s="30"/>
      <c r="J17" s="18"/>
      <c r="K17" s="19"/>
      <c r="N17" s="48"/>
      <c r="O17" s="16" t="s">
        <v>16</v>
      </c>
      <c r="P17" s="29"/>
      <c r="Q17" s="30"/>
      <c r="R17" s="18"/>
      <c r="S17" s="19"/>
    </row>
    <row r="18" spans="6:19" ht="15.75" thickBot="1" x14ac:dyDescent="0.3">
      <c r="F18" s="49"/>
      <c r="G18" s="21" t="s">
        <v>17</v>
      </c>
      <c r="H18" s="31"/>
      <c r="I18" s="32"/>
      <c r="J18" s="22"/>
      <c r="K18" s="23"/>
      <c r="N18" s="49"/>
      <c r="O18" s="21" t="s">
        <v>17</v>
      </c>
      <c r="P18" s="31"/>
      <c r="Q18" s="32"/>
      <c r="R18" s="22"/>
      <c r="S18" s="23"/>
    </row>
    <row r="19" spans="6:19" x14ac:dyDescent="0.25">
      <c r="F19" s="50" t="s">
        <v>18</v>
      </c>
      <c r="G19" s="12" t="s">
        <v>12</v>
      </c>
      <c r="H19" s="13">
        <v>839</v>
      </c>
      <c r="I19" s="13">
        <v>831</v>
      </c>
      <c r="J19" s="14">
        <v>809.822</v>
      </c>
      <c r="K19" s="15"/>
      <c r="N19" s="50" t="s">
        <v>18</v>
      </c>
      <c r="O19" s="12" t="s">
        <v>12</v>
      </c>
      <c r="P19" s="13">
        <v>839</v>
      </c>
      <c r="Q19" s="13">
        <v>831</v>
      </c>
      <c r="R19" s="14"/>
      <c r="S19" s="15"/>
    </row>
    <row r="20" spans="6:19" x14ac:dyDescent="0.25">
      <c r="F20" s="51"/>
      <c r="G20" s="16" t="s">
        <v>19</v>
      </c>
      <c r="H20" s="17">
        <v>836</v>
      </c>
      <c r="I20" s="17">
        <v>805</v>
      </c>
      <c r="J20" s="24">
        <v>800.15899999999999</v>
      </c>
      <c r="K20" s="19"/>
      <c r="N20" s="51"/>
      <c r="O20" s="16" t="s">
        <v>19</v>
      </c>
      <c r="P20" s="17">
        <v>836</v>
      </c>
      <c r="Q20" s="17">
        <v>805</v>
      </c>
      <c r="R20" s="24"/>
      <c r="S20" s="19"/>
    </row>
    <row r="21" spans="6:19" ht="15.75" thickBot="1" x14ac:dyDescent="0.3">
      <c r="F21" s="51"/>
      <c r="G21" s="16" t="s">
        <v>20</v>
      </c>
      <c r="H21" s="17">
        <v>0.60399999999999998</v>
      </c>
      <c r="I21" s="17">
        <v>0.376</v>
      </c>
      <c r="J21" s="18">
        <v>0.58742099999999997</v>
      </c>
      <c r="K21" s="19"/>
      <c r="N21" s="51"/>
      <c r="O21" s="16" t="s">
        <v>20</v>
      </c>
      <c r="P21" s="17">
        <v>0.60399999999999998</v>
      </c>
      <c r="Q21" s="17">
        <v>0.376</v>
      </c>
      <c r="R21" s="18"/>
      <c r="S21" s="19"/>
    </row>
    <row r="22" spans="6:19" x14ac:dyDescent="0.25">
      <c r="F22" s="50" t="s">
        <v>1</v>
      </c>
      <c r="G22" s="12" t="s">
        <v>20</v>
      </c>
      <c r="H22" s="13">
        <v>0.65400000000000003</v>
      </c>
      <c r="I22" s="13">
        <v>0.47899999999999998</v>
      </c>
      <c r="J22" s="25">
        <v>0.63339400000000001</v>
      </c>
      <c r="K22" s="15"/>
      <c r="N22" s="50" t="s">
        <v>1</v>
      </c>
      <c r="O22" s="12" t="s">
        <v>20</v>
      </c>
      <c r="P22" s="13">
        <v>0.65400000000000003</v>
      </c>
      <c r="Q22" s="13">
        <v>0.47899999999999998</v>
      </c>
      <c r="R22" s="25"/>
      <c r="S22" s="15"/>
    </row>
    <row r="23" spans="6:19" x14ac:dyDescent="0.25">
      <c r="F23" s="51"/>
      <c r="G23" s="16" t="s">
        <v>12</v>
      </c>
      <c r="H23" s="17">
        <v>847</v>
      </c>
      <c r="I23" s="17">
        <v>827</v>
      </c>
      <c r="J23" s="24">
        <v>829.101</v>
      </c>
      <c r="K23" s="19"/>
      <c r="N23" s="51"/>
      <c r="O23" s="16" t="s">
        <v>12</v>
      </c>
      <c r="P23" s="17">
        <v>847</v>
      </c>
      <c r="Q23" s="17">
        <v>827</v>
      </c>
      <c r="R23" s="24"/>
      <c r="S23" s="19"/>
    </row>
    <row r="24" spans="6:19" x14ac:dyDescent="0.25">
      <c r="F24" s="51"/>
      <c r="G24" s="16" t="s">
        <v>19</v>
      </c>
      <c r="H24" s="17">
        <v>842</v>
      </c>
      <c r="I24" s="17">
        <v>838</v>
      </c>
      <c r="J24" s="24">
        <v>838.88599999999997</v>
      </c>
      <c r="K24" s="19"/>
      <c r="N24" s="51"/>
      <c r="O24" s="16" t="s">
        <v>19</v>
      </c>
      <c r="P24" s="17">
        <v>842</v>
      </c>
      <c r="Q24" s="17">
        <v>838</v>
      </c>
      <c r="R24" s="24"/>
      <c r="S24" s="19"/>
    </row>
    <row r="25" spans="6:19" x14ac:dyDescent="0.25">
      <c r="F25" s="51"/>
      <c r="G25" s="16" t="s">
        <v>21</v>
      </c>
      <c r="H25" s="20">
        <v>85.2</v>
      </c>
      <c r="I25" s="20">
        <v>83.2</v>
      </c>
      <c r="J25" s="20">
        <v>84.2</v>
      </c>
      <c r="K25" s="19"/>
      <c r="N25" s="51"/>
      <c r="O25" s="16" t="s">
        <v>21</v>
      </c>
      <c r="P25" s="20">
        <v>85.2</v>
      </c>
      <c r="Q25" s="20">
        <v>83.2</v>
      </c>
      <c r="R25" s="20"/>
      <c r="S25" s="19"/>
    </row>
    <row r="26" spans="6:19" x14ac:dyDescent="0.25">
      <c r="F26" s="51"/>
      <c r="G26" s="16" t="s">
        <v>14</v>
      </c>
      <c r="H26" s="20">
        <v>85.971999999999994</v>
      </c>
      <c r="I26" s="17">
        <v>83.32</v>
      </c>
      <c r="J26" s="20">
        <v>85.295000000000002</v>
      </c>
      <c r="K26" s="19"/>
      <c r="N26" s="51"/>
      <c r="O26" s="16" t="s">
        <v>14</v>
      </c>
      <c r="P26" s="20">
        <v>85.971999999999994</v>
      </c>
      <c r="Q26" s="17">
        <v>83.32</v>
      </c>
      <c r="R26" s="20"/>
      <c r="S26" s="19"/>
    </row>
    <row r="27" spans="6:19" x14ac:dyDescent="0.25">
      <c r="F27" s="51"/>
      <c r="G27" s="16" t="s">
        <v>22</v>
      </c>
      <c r="H27" s="17">
        <v>855</v>
      </c>
      <c r="I27" s="17">
        <v>809</v>
      </c>
      <c r="J27" s="24">
        <v>817.3</v>
      </c>
      <c r="K27" s="19"/>
      <c r="N27" s="51"/>
      <c r="O27" s="16" t="s">
        <v>22</v>
      </c>
      <c r="P27" s="17">
        <v>855</v>
      </c>
      <c r="Q27" s="17">
        <v>809</v>
      </c>
      <c r="R27" s="24"/>
      <c r="S27" s="19"/>
    </row>
    <row r="28" spans="6:19" x14ac:dyDescent="0.25">
      <c r="F28" s="51"/>
      <c r="G28" s="16" t="s">
        <v>23</v>
      </c>
      <c r="H28" s="24">
        <v>15.89</v>
      </c>
      <c r="I28" s="24">
        <v>13.15</v>
      </c>
      <c r="J28" s="24">
        <v>14.550781000000001</v>
      </c>
      <c r="K28" s="19"/>
      <c r="N28" s="51"/>
      <c r="O28" s="16" t="s">
        <v>23</v>
      </c>
      <c r="P28" s="24">
        <v>15.89</v>
      </c>
      <c r="Q28" s="24">
        <v>13.15</v>
      </c>
      <c r="R28" s="24"/>
      <c r="S28" s="19"/>
    </row>
    <row r="29" spans="6:19" x14ac:dyDescent="0.25">
      <c r="F29" s="51"/>
      <c r="G29" s="16" t="s">
        <v>15</v>
      </c>
      <c r="H29" s="18">
        <v>1.27</v>
      </c>
      <c r="I29" s="18">
        <v>1.03</v>
      </c>
      <c r="J29" s="18">
        <v>1.190369</v>
      </c>
      <c r="K29" s="19"/>
      <c r="N29" s="51"/>
      <c r="O29" s="16" t="s">
        <v>15</v>
      </c>
      <c r="P29" s="18">
        <v>1.27</v>
      </c>
      <c r="Q29" s="18">
        <v>1.03</v>
      </c>
      <c r="R29" s="18"/>
      <c r="S29" s="19"/>
    </row>
    <row r="30" spans="6:19" ht="15.75" thickBot="1" x14ac:dyDescent="0.3">
      <c r="F30" s="52"/>
      <c r="G30" s="16" t="s">
        <v>24</v>
      </c>
      <c r="H30" s="18">
        <v>2.73</v>
      </c>
      <c r="I30" s="18">
        <v>2.27</v>
      </c>
      <c r="J30" s="18">
        <v>2.5865740000000002</v>
      </c>
      <c r="K30" s="19"/>
      <c r="N30" s="52"/>
      <c r="O30" s="16" t="s">
        <v>24</v>
      </c>
      <c r="P30" s="18">
        <v>2.73</v>
      </c>
      <c r="Q30" s="18">
        <v>2.27</v>
      </c>
      <c r="R30" s="18"/>
      <c r="S30" s="19"/>
    </row>
    <row r="31" spans="6:19" x14ac:dyDescent="0.25">
      <c r="F31" s="50" t="s">
        <v>25</v>
      </c>
      <c r="G31" s="26" t="s">
        <v>13</v>
      </c>
      <c r="H31" s="13">
        <v>0.93100000000000005</v>
      </c>
      <c r="I31" s="13">
        <v>0.46899999999999997</v>
      </c>
      <c r="J31" s="25">
        <v>0.66776199999999997</v>
      </c>
      <c r="K31" s="15"/>
      <c r="N31" s="50" t="s">
        <v>25</v>
      </c>
      <c r="O31" s="26" t="s">
        <v>13</v>
      </c>
      <c r="P31" s="13">
        <v>0.93100000000000005</v>
      </c>
      <c r="Q31" s="13">
        <v>0.46899999999999997</v>
      </c>
      <c r="R31" s="25"/>
      <c r="S31" s="15"/>
    </row>
    <row r="32" spans="6:19" x14ac:dyDescent="0.25">
      <c r="F32" s="51"/>
      <c r="G32" s="27" t="s">
        <v>19</v>
      </c>
      <c r="H32" s="17">
        <v>842</v>
      </c>
      <c r="I32" s="17">
        <v>801</v>
      </c>
      <c r="J32" s="24">
        <v>832.16899999999998</v>
      </c>
      <c r="K32" s="19"/>
      <c r="N32" s="51"/>
      <c r="O32" s="27" t="s">
        <v>19</v>
      </c>
      <c r="P32" s="17">
        <v>842</v>
      </c>
      <c r="Q32" s="17">
        <v>801</v>
      </c>
      <c r="R32" s="24"/>
      <c r="S32" s="19"/>
    </row>
    <row r="33" spans="6:19" x14ac:dyDescent="0.25">
      <c r="F33" s="51"/>
      <c r="G33" s="27" t="s">
        <v>24</v>
      </c>
      <c r="H33" s="17">
        <v>2.8180000000000001</v>
      </c>
      <c r="I33" s="18">
        <v>2.21</v>
      </c>
      <c r="J33" s="18">
        <v>2.5503849999999999</v>
      </c>
      <c r="K33" s="19"/>
      <c r="N33" s="51"/>
      <c r="O33" s="27" t="s">
        <v>24</v>
      </c>
      <c r="P33" s="17">
        <v>2.8180000000000001</v>
      </c>
      <c r="Q33" s="18">
        <v>2.21</v>
      </c>
      <c r="R33" s="18"/>
      <c r="S33" s="19"/>
    </row>
    <row r="34" spans="6:19" x14ac:dyDescent="0.25">
      <c r="F34" s="51"/>
      <c r="G34" s="27" t="s">
        <v>14</v>
      </c>
      <c r="H34" s="17">
        <v>86.76</v>
      </c>
      <c r="I34" s="17">
        <v>82.67</v>
      </c>
      <c r="J34" s="20">
        <v>84.685000000000002</v>
      </c>
      <c r="K34" s="19"/>
      <c r="N34" s="51"/>
      <c r="O34" s="27" t="s">
        <v>14</v>
      </c>
      <c r="P34" s="17">
        <v>86.76</v>
      </c>
      <c r="Q34" s="17">
        <v>82.67</v>
      </c>
      <c r="R34" s="20"/>
      <c r="S34" s="19"/>
    </row>
    <row r="35" spans="6:19" x14ac:dyDescent="0.25">
      <c r="F35" s="51"/>
      <c r="G35" s="27" t="s">
        <v>15</v>
      </c>
      <c r="H35" s="18">
        <v>1.3</v>
      </c>
      <c r="I35" s="18">
        <v>1.02</v>
      </c>
      <c r="J35" s="18">
        <v>1.1748879999999999</v>
      </c>
      <c r="K35" s="19"/>
      <c r="N35" s="51"/>
      <c r="O35" s="27" t="s">
        <v>15</v>
      </c>
      <c r="P35" s="18">
        <v>1.3</v>
      </c>
      <c r="Q35" s="18">
        <v>1.02</v>
      </c>
      <c r="R35" s="18"/>
      <c r="S35" s="19"/>
    </row>
    <row r="36" spans="6:19" x14ac:dyDescent="0.25">
      <c r="F36" s="51"/>
      <c r="G36" s="27" t="s">
        <v>16</v>
      </c>
      <c r="H36" s="29"/>
      <c r="I36" s="30"/>
      <c r="J36" s="18"/>
      <c r="K36" s="19"/>
      <c r="N36" s="51"/>
      <c r="O36" s="27" t="s">
        <v>16</v>
      </c>
      <c r="P36" s="29"/>
      <c r="Q36" s="30"/>
      <c r="R36" s="18"/>
      <c r="S36" s="19"/>
    </row>
    <row r="37" spans="6:19" ht="15.75" thickBot="1" x14ac:dyDescent="0.3">
      <c r="F37" s="52"/>
      <c r="G37" s="28" t="s">
        <v>17</v>
      </c>
      <c r="H37" s="31"/>
      <c r="I37" s="32"/>
      <c r="J37" s="22"/>
      <c r="K37" s="23"/>
      <c r="N37" s="52"/>
      <c r="O37" s="28" t="s">
        <v>17</v>
      </c>
      <c r="P37" s="31"/>
      <c r="Q37" s="32"/>
      <c r="R37" s="22"/>
      <c r="S37" s="23"/>
    </row>
  </sheetData>
  <mergeCells count="8">
    <mergeCell ref="F13:F18"/>
    <mergeCell ref="F19:F21"/>
    <mergeCell ref="F22:F30"/>
    <mergeCell ref="F31:F37"/>
    <mergeCell ref="N13:N18"/>
    <mergeCell ref="N19:N21"/>
    <mergeCell ref="N22:N30"/>
    <mergeCell ref="N31:N37"/>
  </mergeCells>
  <conditionalFormatting sqref="K13:K37">
    <cfRule type="containsText" dxfId="2" priority="4" operator="containsText" text="FAIL">
      <formula>NOT(ISERROR(SEARCH("FAIL",K13)))</formula>
    </cfRule>
  </conditionalFormatting>
  <conditionalFormatting sqref="S13:S37">
    <cfRule type="containsText" dxfId="1" priority="3" operator="containsText" text="FAIL">
      <formula>NOT(ISERROR(SEARCH("FAIL",S13)))</formula>
    </cfRule>
  </conditionalFormatting>
  <conditionalFormatting sqref="S13">
    <cfRule type="expression" priority="1">
      <formula>IF(OR(R13&lt;Q13,R13&gt;P13),"FAIL","PASS")</formula>
    </cfRule>
    <cfRule type="expression" priority="2">
      <formula>"if($J$13 &gt; $H$13,""Pass"",""Fail"")"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F7:K37"/>
  <sheetViews>
    <sheetView topLeftCell="A3" workbookViewId="0">
      <selection activeCell="F8" sqref="F8:K37"/>
    </sheetView>
  </sheetViews>
  <sheetFormatPr defaultRowHeight="15" x14ac:dyDescent="0.25"/>
  <cols>
    <col min="4" max="4" width="6.28515625" customWidth="1"/>
    <col min="5" max="5" width="4.7109375" customWidth="1"/>
    <col min="6" max="6" width="22.5703125" customWidth="1"/>
    <col min="7" max="7" width="12.28515625" bestFit="1" customWidth="1"/>
    <col min="8" max="8" width="12.140625" customWidth="1"/>
    <col min="9" max="9" width="11.42578125" customWidth="1"/>
    <col min="10" max="10" width="9.85546875" bestFit="1" customWidth="1"/>
    <col min="11" max="11" width="14.85546875" customWidth="1"/>
  </cols>
  <sheetData>
    <row r="7" spans="6:11" ht="15.75" thickBot="1" x14ac:dyDescent="0.3"/>
    <row r="8" spans="6:11" ht="15.75" thickBot="1" x14ac:dyDescent="0.3">
      <c r="F8" s="53" t="s">
        <v>2</v>
      </c>
      <c r="G8" s="56"/>
      <c r="H8" s="53" t="s">
        <v>3</v>
      </c>
      <c r="I8" s="54"/>
      <c r="J8" s="55" t="s">
        <v>4</v>
      </c>
      <c r="K8" s="56"/>
    </row>
    <row r="9" spans="6:11" ht="15.75" thickBot="1" x14ac:dyDescent="0.3">
      <c r="F9" s="57" t="str">
        <f>'Load Data'!N1</f>
        <v>DM66000-001134-10</v>
      </c>
      <c r="G9" s="58"/>
      <c r="H9" s="57">
        <f>IF(ISBLANK('R&amp;R_RawData'!A1),"",'S5 R&amp;R'!A1)</f>
        <v>0</v>
      </c>
      <c r="I9" s="59"/>
      <c r="J9" s="60">
        <f ca="1">NOW()</f>
        <v>43311.913411111113</v>
      </c>
      <c r="K9" s="58"/>
    </row>
    <row r="10" spans="6:11" x14ac:dyDescent="0.25">
      <c r="F10" s="8"/>
      <c r="G10" s="8"/>
      <c r="H10" s="8"/>
      <c r="I10" s="8"/>
      <c r="J10" s="8"/>
      <c r="K10" s="8"/>
    </row>
    <row r="11" spans="6:11" ht="15.75" thickBot="1" x14ac:dyDescent="0.3">
      <c r="F11" s="8"/>
      <c r="G11" s="8"/>
      <c r="H11" s="8"/>
      <c r="I11" s="8"/>
      <c r="J11" s="8"/>
      <c r="K11" s="8"/>
    </row>
    <row r="12" spans="6:11" ht="15.75" thickBot="1" x14ac:dyDescent="0.3">
      <c r="F12" s="33" t="s">
        <v>5</v>
      </c>
      <c r="G12" s="34" t="s">
        <v>6</v>
      </c>
      <c r="H12" s="34" t="s">
        <v>7</v>
      </c>
      <c r="I12" s="34" t="s">
        <v>8</v>
      </c>
      <c r="J12" s="34" t="s">
        <v>9</v>
      </c>
      <c r="K12" s="35" t="s">
        <v>10</v>
      </c>
    </row>
    <row r="13" spans="6:11" x14ac:dyDescent="0.25">
      <c r="F13" s="47" t="s">
        <v>11</v>
      </c>
      <c r="G13" s="12" t="s">
        <v>12</v>
      </c>
      <c r="H13" s="13">
        <v>860</v>
      </c>
      <c r="I13" s="13">
        <v>834</v>
      </c>
      <c r="J13" s="14"/>
      <c r="K13" s="15"/>
    </row>
    <row r="14" spans="6:11" x14ac:dyDescent="0.25">
      <c r="F14" s="48"/>
      <c r="G14" s="16" t="s">
        <v>13</v>
      </c>
      <c r="H14" s="17">
        <v>0.253</v>
      </c>
      <c r="I14" s="17">
        <v>0.13900000000000001</v>
      </c>
      <c r="J14" s="18"/>
      <c r="K14" s="19"/>
    </row>
    <row r="15" spans="6:11" x14ac:dyDescent="0.25">
      <c r="F15" s="48"/>
      <c r="G15" s="16" t="s">
        <v>14</v>
      </c>
      <c r="H15" s="17">
        <v>73.69</v>
      </c>
      <c r="I15" s="20">
        <v>68.900000000000006</v>
      </c>
      <c r="J15" s="20"/>
      <c r="K15" s="19"/>
    </row>
    <row r="16" spans="6:11" x14ac:dyDescent="0.25">
      <c r="F16" s="48"/>
      <c r="G16" s="16" t="s">
        <v>15</v>
      </c>
      <c r="H16" s="17">
        <v>0.56100000000000005</v>
      </c>
      <c r="I16" s="17">
        <v>0.375</v>
      </c>
      <c r="J16" s="18"/>
      <c r="K16" s="19"/>
    </row>
    <row r="17" spans="6:11" x14ac:dyDescent="0.25">
      <c r="F17" s="48"/>
      <c r="G17" s="16" t="s">
        <v>16</v>
      </c>
      <c r="H17" s="29"/>
      <c r="I17" s="30"/>
      <c r="J17" s="18"/>
      <c r="K17" s="19"/>
    </row>
    <row r="18" spans="6:11" ht="15.75" thickBot="1" x14ac:dyDescent="0.3">
      <c r="F18" s="49"/>
      <c r="G18" s="21" t="s">
        <v>17</v>
      </c>
      <c r="H18" s="31"/>
      <c r="I18" s="32"/>
      <c r="J18" s="22"/>
      <c r="K18" s="23"/>
    </row>
    <row r="19" spans="6:11" x14ac:dyDescent="0.25">
      <c r="F19" s="50" t="s">
        <v>18</v>
      </c>
      <c r="G19" s="12" t="s">
        <v>12</v>
      </c>
      <c r="H19" s="13">
        <v>839</v>
      </c>
      <c r="I19" s="13">
        <v>831</v>
      </c>
      <c r="J19" s="14"/>
      <c r="K19" s="15"/>
    </row>
    <row r="20" spans="6:11" x14ac:dyDescent="0.25">
      <c r="F20" s="51"/>
      <c r="G20" s="16" t="s">
        <v>19</v>
      </c>
      <c r="H20" s="17">
        <v>836</v>
      </c>
      <c r="I20" s="17">
        <v>805</v>
      </c>
      <c r="J20" s="24"/>
      <c r="K20" s="19"/>
    </row>
    <row r="21" spans="6:11" ht="15.75" thickBot="1" x14ac:dyDescent="0.3">
      <c r="F21" s="51"/>
      <c r="G21" s="16" t="s">
        <v>20</v>
      </c>
      <c r="H21" s="17">
        <v>0.60399999999999998</v>
      </c>
      <c r="I21" s="17">
        <v>0.376</v>
      </c>
      <c r="J21" s="18"/>
      <c r="K21" s="19"/>
    </row>
    <row r="22" spans="6:11" x14ac:dyDescent="0.25">
      <c r="F22" s="50" t="s">
        <v>1</v>
      </c>
      <c r="G22" s="12" t="s">
        <v>20</v>
      </c>
      <c r="H22" s="13">
        <v>0.65400000000000003</v>
      </c>
      <c r="I22" s="13">
        <v>0.47899999999999998</v>
      </c>
      <c r="J22" s="25"/>
      <c r="K22" s="15"/>
    </row>
    <row r="23" spans="6:11" x14ac:dyDescent="0.25">
      <c r="F23" s="51"/>
      <c r="G23" s="16" t="s">
        <v>12</v>
      </c>
      <c r="H23" s="17">
        <v>847</v>
      </c>
      <c r="I23" s="17">
        <v>827</v>
      </c>
      <c r="J23" s="24"/>
      <c r="K23" s="19"/>
    </row>
    <row r="24" spans="6:11" x14ac:dyDescent="0.25">
      <c r="F24" s="51"/>
      <c r="G24" s="16" t="s">
        <v>19</v>
      </c>
      <c r="H24" s="17">
        <v>842</v>
      </c>
      <c r="I24" s="17">
        <v>838</v>
      </c>
      <c r="J24" s="24"/>
      <c r="K24" s="19"/>
    </row>
    <row r="25" spans="6:11" x14ac:dyDescent="0.25">
      <c r="F25" s="51"/>
      <c r="G25" s="16" t="s">
        <v>21</v>
      </c>
      <c r="H25" s="20">
        <v>85.2</v>
      </c>
      <c r="I25" s="20">
        <v>83.2</v>
      </c>
      <c r="J25" s="20"/>
      <c r="K25" s="19"/>
    </row>
    <row r="26" spans="6:11" x14ac:dyDescent="0.25">
      <c r="F26" s="51"/>
      <c r="G26" s="16" t="s">
        <v>14</v>
      </c>
      <c r="H26" s="20">
        <v>85.971999999999994</v>
      </c>
      <c r="I26" s="17">
        <v>83.32</v>
      </c>
      <c r="J26" s="20"/>
      <c r="K26" s="19"/>
    </row>
    <row r="27" spans="6:11" x14ac:dyDescent="0.25">
      <c r="F27" s="51"/>
      <c r="G27" s="16" t="s">
        <v>22</v>
      </c>
      <c r="H27" s="17">
        <v>855</v>
      </c>
      <c r="I27" s="17">
        <v>809</v>
      </c>
      <c r="J27" s="24"/>
      <c r="K27" s="19"/>
    </row>
    <row r="28" spans="6:11" x14ac:dyDescent="0.25">
      <c r="F28" s="51"/>
      <c r="G28" s="16" t="s">
        <v>23</v>
      </c>
      <c r="H28" s="24">
        <v>15.89</v>
      </c>
      <c r="I28" s="24">
        <v>13.15</v>
      </c>
      <c r="J28" s="24"/>
      <c r="K28" s="19"/>
    </row>
    <row r="29" spans="6:11" x14ac:dyDescent="0.25">
      <c r="F29" s="51"/>
      <c r="G29" s="16" t="s">
        <v>15</v>
      </c>
      <c r="H29" s="18">
        <v>1.27</v>
      </c>
      <c r="I29" s="18">
        <v>1.03</v>
      </c>
      <c r="J29" s="18"/>
      <c r="K29" s="19"/>
    </row>
    <row r="30" spans="6:11" ht="15.75" thickBot="1" x14ac:dyDescent="0.3">
      <c r="F30" s="52"/>
      <c r="G30" s="16" t="s">
        <v>24</v>
      </c>
      <c r="H30" s="18">
        <v>2.73</v>
      </c>
      <c r="I30" s="18">
        <v>2.27</v>
      </c>
      <c r="J30" s="18"/>
      <c r="K30" s="19"/>
    </row>
    <row r="31" spans="6:11" x14ac:dyDescent="0.25">
      <c r="F31" s="50" t="s">
        <v>25</v>
      </c>
      <c r="G31" s="26" t="s">
        <v>13</v>
      </c>
      <c r="H31" s="13">
        <v>0.93100000000000005</v>
      </c>
      <c r="I31" s="13">
        <v>0.46899999999999997</v>
      </c>
      <c r="J31" s="25"/>
      <c r="K31" s="15"/>
    </row>
    <row r="32" spans="6:11" x14ac:dyDescent="0.25">
      <c r="F32" s="51"/>
      <c r="G32" s="27" t="s">
        <v>19</v>
      </c>
      <c r="H32" s="17">
        <v>842</v>
      </c>
      <c r="I32" s="17">
        <v>801</v>
      </c>
      <c r="J32" s="24"/>
      <c r="K32" s="19"/>
    </row>
    <row r="33" spans="6:11" x14ac:dyDescent="0.25">
      <c r="F33" s="51"/>
      <c r="G33" s="27" t="s">
        <v>24</v>
      </c>
      <c r="H33" s="17">
        <v>2.8180000000000001</v>
      </c>
      <c r="I33" s="18">
        <v>2.21</v>
      </c>
      <c r="J33" s="18"/>
      <c r="K33" s="19"/>
    </row>
    <row r="34" spans="6:11" x14ac:dyDescent="0.25">
      <c r="F34" s="51"/>
      <c r="G34" s="27" t="s">
        <v>14</v>
      </c>
      <c r="H34" s="17">
        <v>86.76</v>
      </c>
      <c r="I34" s="17">
        <v>82.67</v>
      </c>
      <c r="J34" s="20"/>
      <c r="K34" s="19"/>
    </row>
    <row r="35" spans="6:11" x14ac:dyDescent="0.25">
      <c r="F35" s="51"/>
      <c r="G35" s="27" t="s">
        <v>15</v>
      </c>
      <c r="H35" s="18">
        <v>1.3</v>
      </c>
      <c r="I35" s="18">
        <v>1.02</v>
      </c>
      <c r="J35" s="18"/>
      <c r="K35" s="19"/>
    </row>
    <row r="36" spans="6:11" x14ac:dyDescent="0.25">
      <c r="F36" s="51"/>
      <c r="G36" s="27" t="s">
        <v>16</v>
      </c>
      <c r="H36" s="29"/>
      <c r="I36" s="30"/>
      <c r="J36" s="18"/>
      <c r="K36" s="19"/>
    </row>
    <row r="37" spans="6:11" ht="15.75" thickBot="1" x14ac:dyDescent="0.3">
      <c r="F37" s="52"/>
      <c r="G37" s="28" t="s">
        <v>17</v>
      </c>
      <c r="H37" s="31"/>
      <c r="I37" s="32"/>
      <c r="J37" s="22"/>
      <c r="K37" s="23"/>
    </row>
  </sheetData>
  <mergeCells count="10">
    <mergeCell ref="F13:F18"/>
    <mergeCell ref="F19:F21"/>
    <mergeCell ref="F22:F30"/>
    <mergeCell ref="F31:F37"/>
    <mergeCell ref="F8:G8"/>
    <mergeCell ref="H8:I8"/>
    <mergeCell ref="J8:K8"/>
    <mergeCell ref="F9:G9"/>
    <mergeCell ref="H9:I9"/>
    <mergeCell ref="J9:K9"/>
  </mergeCells>
  <conditionalFormatting sqref="K13:K37">
    <cfRule type="containsText" dxfId="0" priority="3" operator="containsText" text="FAIL">
      <formula>NOT(ISERROR(SEARCH("FAIL",K13)))</formula>
    </cfRule>
  </conditionalFormatting>
  <conditionalFormatting sqref="K13">
    <cfRule type="expression" priority="1">
      <formula>IF(OR(J13&lt;I13,J13&gt;H13),"FAIL","PASS")</formula>
    </cfRule>
    <cfRule type="expression" priority="2">
      <formula>"if($J$13 &gt; $H$13,""Pass"",""Fail"")"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Load Data</vt:lpstr>
      <vt:lpstr>R&amp;R_RawData</vt:lpstr>
      <vt:lpstr>S5 R&amp;R</vt:lpstr>
      <vt:lpstr>R&amp;R Grade</vt:lpstr>
      <vt:lpstr>S5 R&amp;R Grade</vt:lpstr>
      <vt:lpstr>file_Name</vt:lpstr>
      <vt:lpstr>S5_actualV</vt:lpstr>
      <vt:lpstr>S5_StackID</vt:lpstr>
      <vt:lpstr>S5_Value</vt:lpstr>
      <vt:lpstr>S6_actualV</vt:lpstr>
      <vt:lpstr>S6_StackID</vt:lpstr>
      <vt:lpstr>'R&amp;R_RawData'!Sample</vt:lpstr>
      <vt:lpstr>'R&amp;R_RawData'!Sample_1</vt:lpstr>
      <vt:lpstr>'R&amp;R_RawData'!Sample_10</vt:lpstr>
      <vt:lpstr>'R&amp;R_RawData'!Sample_11</vt:lpstr>
      <vt:lpstr>'R&amp;R_RawData'!Sample_2</vt:lpstr>
      <vt:lpstr>'R&amp;R_RawData'!Sample_3</vt:lpstr>
      <vt:lpstr>'R&amp;R_RawData'!Sample_4</vt:lpstr>
      <vt:lpstr>'R&amp;R_RawData'!Sample_5</vt:lpstr>
      <vt:lpstr>'R&amp;R_RawData'!Sample_6</vt:lpstr>
      <vt:lpstr>'R&amp;R_RawData'!Sample_7</vt:lpstr>
      <vt:lpstr>'R&amp;R_RawData'!Sample_8</vt:lpstr>
      <vt:lpstr>'R&amp;R_RawData'!Sample_9</vt:lpstr>
      <vt:lpstr>Stack_Design</vt:lpstr>
      <vt:lpstr>Stack_Test_Date</vt:lpstr>
    </vt:vector>
  </TitlesOfParts>
  <Company>Bloom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Dennys Gonzalez</dc:creator>
  <cp:lastModifiedBy>Dennys Gonzalez</cp:lastModifiedBy>
  <dcterms:created xsi:type="dcterms:W3CDTF">2018-04-03T16:58:15Z</dcterms:created>
  <dcterms:modified xsi:type="dcterms:W3CDTF">2018-07-31T04:57:03Z</dcterms:modified>
</cp:coreProperties>
</file>