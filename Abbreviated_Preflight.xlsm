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g110810\Documents\GitHub\Excel-Examples\"/>
    </mc:Choice>
  </mc:AlternateContent>
  <bookViews>
    <workbookView xWindow="360" yWindow="345" windowWidth="12390" windowHeight="7500"/>
  </bookViews>
  <sheets>
    <sheet name="Sheet1" sheetId="1" r:id="rId1"/>
    <sheet name="Sheet2" sheetId="2" r:id="rId2"/>
    <sheet name="DummyModule" sheetId="3" state="hidden" r:id="rId3"/>
  </sheets>
  <definedNames>
    <definedName name="AIR">Sheet1!$F$50:$I$50</definedName>
    <definedName name="CH_4">Sheet1!$F$47:$I$47</definedName>
    <definedName name="DATE">Sheet1!$D$8</definedName>
    <definedName name="E_Con1">Sheet1!$D$36:$E$37</definedName>
    <definedName name="E_Con2">Sheet1!$H$36:$I$37</definedName>
    <definedName name="E_Load">Sheet1!$G$40</definedName>
    <definedName name="Grade">Sheet2!$B$2:$B$3</definedName>
    <definedName name="H_2">Sheet1!$F$46:$I$46</definedName>
    <definedName name="Header_V1">Sheet1!$D$30:$E$33</definedName>
    <definedName name="Header_V2">Sheet1!$H$30:$I$33</definedName>
    <definedName name="Leak_By">Sheet1!$I$58</definedName>
    <definedName name="Leak_Decay">Sheet1!$I$54</definedName>
    <definedName name="M_AIR">Sheet1!$F$49:$I$49</definedName>
    <definedName name="Manifold">Sheet2!$G$1:$G$10</definedName>
    <definedName name="N_2">Sheet1!$F$48:$I$48</definedName>
    <definedName name="Next_stack_ID">Sheet1!$B$83</definedName>
    <definedName name="Note_1">Sheet1!#REF!</definedName>
    <definedName name="Note_2">Sheet1!#REF!</definedName>
    <definedName name="PHH">Sheet1!$I$44</definedName>
    <definedName name="Plumbing">Sheet1!$D$40:$E$41</definedName>
    <definedName name="Pre_lockout1" comment="Does not include UPS Battery ">Sheet1!$D$18:$E$19</definedName>
    <definedName name="Pre_lockout2">Sheet1!$H$17:$I$18</definedName>
    <definedName name="_xlnm.Print_Area" localSheetId="0">Sheet1!$B$2:$I$100</definedName>
    <definedName name="Sim_check">Sheet1!$I$40</definedName>
    <definedName name="Solenoid_V1">Sheet1!$D$26:$E$27</definedName>
    <definedName name="Solenoid_V2">Sheet1!$H$26:$I$27</definedName>
    <definedName name="Status">Sheet1!$H$77</definedName>
    <definedName name="Tech_comments_1">Sheet1!$B$80</definedName>
    <definedName name="Tech_comments_2">Sheet1!$B$81</definedName>
    <definedName name="Test_Stations">Sheet2!$H$1:$H$24</definedName>
    <definedName name="Thermocouple_Check">Sheet1!$B$74:$I$74</definedName>
    <definedName name="TS_ID">Sheet1!$D$7</definedName>
    <definedName name="TS_Stand">Sheet1!$D$7</definedName>
    <definedName name="UV">Sheet1!$G$41</definedName>
  </definedNames>
  <calcPr calcId="162913"/>
</workbook>
</file>

<file path=xl/calcChain.xml><?xml version="1.0" encoding="utf-8"?>
<calcChain xmlns="http://schemas.openxmlformats.org/spreadsheetml/2006/main">
  <c r="I51" i="1" l="1"/>
  <c r="G51" i="1"/>
  <c r="E51" i="1"/>
  <c r="D51" i="1"/>
  <c r="C51" i="1"/>
  <c r="I58" i="1" l="1"/>
  <c r="I54" i="1"/>
  <c r="G46" i="1"/>
  <c r="D8" i="1" l="1"/>
  <c r="H58" i="1" l="1"/>
  <c r="D46" i="1" l="1"/>
  <c r="I46" i="1" s="1"/>
  <c r="D47" i="1"/>
  <c r="I47" i="1" s="1"/>
  <c r="E50" i="1"/>
  <c r="E49" i="1"/>
  <c r="E48" i="1"/>
  <c r="E47" i="1"/>
  <c r="G47" i="1" s="1"/>
  <c r="E46" i="1"/>
  <c r="C46" i="1"/>
  <c r="H22" i="1" l="1"/>
  <c r="H60" i="1" l="1"/>
  <c r="H54" i="1" l="1"/>
  <c r="F55" i="1" s="1"/>
  <c r="F59" i="1"/>
  <c r="D50" i="1"/>
  <c r="D49" i="1"/>
  <c r="D48" i="1"/>
  <c r="C50" i="1"/>
  <c r="C49" i="1"/>
  <c r="C48" i="1"/>
  <c r="C47" i="1"/>
  <c r="I48" i="1" l="1"/>
  <c r="G48" i="1"/>
  <c r="I49" i="1"/>
  <c r="G49" i="1"/>
  <c r="I50" i="1"/>
  <c r="G50" i="1"/>
</calcChain>
</file>

<file path=xl/sharedStrings.xml><?xml version="1.0" encoding="utf-8"?>
<sst xmlns="http://schemas.openxmlformats.org/spreadsheetml/2006/main" count="314" uniqueCount="213">
  <si>
    <t>Department Name</t>
  </si>
  <si>
    <t>Document Number</t>
  </si>
  <si>
    <t>Rev</t>
  </si>
  <si>
    <t>Page</t>
  </si>
  <si>
    <t>Set point</t>
  </si>
  <si>
    <t>Test Station ID</t>
  </si>
  <si>
    <t>Maintenance status</t>
  </si>
  <si>
    <t>Yes</t>
  </si>
  <si>
    <t>No</t>
  </si>
  <si>
    <t xml:space="preserve"> </t>
  </si>
  <si>
    <t>Solenoid valves</t>
  </si>
  <si>
    <t>Pressure switches</t>
  </si>
  <si>
    <t>Pressure transducers</t>
  </si>
  <si>
    <t>Mass flow controllers</t>
  </si>
  <si>
    <t>Reformer bypass</t>
  </si>
  <si>
    <t>Humidifier bypass</t>
  </si>
  <si>
    <t>Shut-off valves</t>
  </si>
  <si>
    <t>Three-way valve</t>
  </si>
  <si>
    <t>MFC gas</t>
  </si>
  <si>
    <t>Size</t>
  </si>
  <si>
    <t>Read back</t>
  </si>
  <si>
    <t>Zero value</t>
  </si>
  <si>
    <t>Cal date</t>
  </si>
  <si>
    <t>Phh</t>
  </si>
  <si>
    <t>Pair</t>
  </si>
  <si>
    <t>Air leak check</t>
  </si>
  <si>
    <t>Initial Phh</t>
  </si>
  <si>
    <t>Final Phh</t>
  </si>
  <si>
    <t xml:space="preserve">Time </t>
  </si>
  <si>
    <t>Time</t>
  </si>
  <si>
    <t>dP</t>
  </si>
  <si>
    <t>Thh</t>
  </si>
  <si>
    <t>Tao</t>
  </si>
  <si>
    <t>Tai</t>
  </si>
  <si>
    <t>Tfi</t>
  </si>
  <si>
    <t>Tfo</t>
  </si>
  <si>
    <t>Tst</t>
  </si>
  <si>
    <t>Tsb</t>
  </si>
  <si>
    <t>Tric</t>
  </si>
  <si>
    <t>Troc</t>
  </si>
  <si>
    <t>Tline</t>
  </si>
  <si>
    <t>Twc</t>
  </si>
  <si>
    <t>Electronic load check</t>
  </si>
  <si>
    <t>Preflight performed by:</t>
  </si>
  <si>
    <t>Date:</t>
  </si>
  <si>
    <t>Software version</t>
  </si>
  <si>
    <t>Date</t>
  </si>
  <si>
    <t>Moist Air</t>
  </si>
  <si>
    <t>Tsm</t>
  </si>
  <si>
    <t>Thh cath</t>
  </si>
  <si>
    <t>Twc Cath</t>
  </si>
  <si>
    <t>Tline Cath</t>
  </si>
  <si>
    <t>Rate</t>
  </si>
  <si>
    <t>Stack Testing</t>
  </si>
  <si>
    <t>Dry Air</t>
  </si>
  <si>
    <t>VERIFY THAT THE HOT LEAK EXHAUST VALVE IS OPEN?</t>
  </si>
  <si>
    <t>Leak-by</t>
  </si>
  <si>
    <t>N/A</t>
  </si>
  <si>
    <r>
      <t>Approved by</t>
    </r>
    <r>
      <rPr>
        <sz val="10"/>
        <rFont val="Arial"/>
        <family val="2"/>
      </rPr>
      <t>: IR</t>
    </r>
  </si>
  <si>
    <t>Leak Decay</t>
  </si>
  <si>
    <t>Stack simulator check</t>
  </si>
  <si>
    <t>Tref ext.</t>
  </si>
  <si>
    <t>Tsafety</t>
  </si>
  <si>
    <t>Hydrogen header valve</t>
  </si>
  <si>
    <t>NG header valve</t>
  </si>
  <si>
    <t>Air header valve</t>
  </si>
  <si>
    <t>1/4 turn valve feed Air humidifier</t>
  </si>
  <si>
    <t>1/4 turn valve feed Fuel humidifier</t>
  </si>
  <si>
    <t>Table 1</t>
  </si>
  <si>
    <t>Table 2</t>
  </si>
  <si>
    <t>Line Heater Configuration</t>
  </si>
  <si>
    <t>Calculated Resistance (Ω)</t>
  </si>
  <si>
    <t>Pass/Fail Band (Ω)</t>
  </si>
  <si>
    <t>Air Pre-Heater type</t>
  </si>
  <si>
    <t>Nominal Resistance (Ω)</t>
  </si>
  <si>
    <t>2' Single</t>
  </si>
  <si>
    <t>360 - 380</t>
  </si>
  <si>
    <t>600C short-type</t>
  </si>
  <si>
    <t>4' Single</t>
  </si>
  <si>
    <t>175 – 195</t>
  </si>
  <si>
    <t>6' Single</t>
  </si>
  <si>
    <t>113 – 133</t>
  </si>
  <si>
    <t>8' Single</t>
  </si>
  <si>
    <t>82 - 92</t>
  </si>
  <si>
    <t>2' + 2' Parallel</t>
  </si>
  <si>
    <t>2' + 4' Parallel</t>
  </si>
  <si>
    <t>2' + 6' Parallel</t>
  </si>
  <si>
    <t>82 – 102</t>
  </si>
  <si>
    <t>2' + 8' Parallel</t>
  </si>
  <si>
    <t>63 – 83</t>
  </si>
  <si>
    <t>4' + 6' Parallel</t>
  </si>
  <si>
    <t>64 – 84</t>
  </si>
  <si>
    <t>4' + 8' Parallel</t>
  </si>
  <si>
    <t>52 – 72</t>
  </si>
  <si>
    <t>6' + 6' Parallel</t>
  </si>
  <si>
    <t>6' + 8' Parallel</t>
  </si>
  <si>
    <t>43 – 63</t>
  </si>
  <si>
    <t>8' + 8' Parallel</t>
  </si>
  <si>
    <t>36 – 56</t>
  </si>
  <si>
    <t>850C long-type w/ potted wires</t>
  </si>
  <si>
    <t>15 - 19</t>
  </si>
  <si>
    <t>850C long-type w/ brazed lugs</t>
  </si>
  <si>
    <t>H2</t>
  </si>
  <si>
    <t>CH4</t>
  </si>
  <si>
    <t>N2</t>
  </si>
  <si>
    <t>Double Module BTM</t>
  </si>
  <si>
    <t>Parallel @120VAC</t>
  </si>
  <si>
    <t>Double Module TOP</t>
  </si>
  <si>
    <t>Series @208VAC</t>
  </si>
  <si>
    <t>Single Module</t>
  </si>
  <si>
    <t>10 - 14</t>
  </si>
  <si>
    <t>12 - 16</t>
  </si>
  <si>
    <t>Table 3</t>
  </si>
  <si>
    <t>Furnace Type</t>
  </si>
  <si>
    <t>Wiring Config.</t>
  </si>
  <si>
    <t xml:space="preserve">Nominal Resistance (Ω) </t>
  </si>
  <si>
    <t>5 - 7</t>
  </si>
  <si>
    <t>20 - 28</t>
  </si>
  <si>
    <t>Green</t>
  </si>
  <si>
    <t>Yellow</t>
  </si>
  <si>
    <t>Red</t>
  </si>
  <si>
    <t>Tmid (2 M)</t>
  </si>
  <si>
    <t>Furnace plug</t>
  </si>
  <si>
    <t>Furnace coil</t>
  </si>
  <si>
    <t>UPS battery</t>
  </si>
  <si>
    <t>Armstrongs clean? Filled?</t>
  </si>
  <si>
    <t>Thermocouple Check (w/ heat gun)</t>
  </si>
  <si>
    <t>Exhaust (radiator)</t>
  </si>
  <si>
    <t>CO2 header valve</t>
  </si>
  <si>
    <t>Water header valve</t>
  </si>
  <si>
    <t>Tfc_top</t>
  </si>
  <si>
    <t>Tfc_bot</t>
  </si>
  <si>
    <t>--</t>
  </si>
  <si>
    <t>Reference tables</t>
  </si>
  <si>
    <t>E-load check</t>
  </si>
  <si>
    <t>UV on?</t>
  </si>
  <si>
    <t>Thermocouple Check</t>
  </si>
  <si>
    <t>Simulator check</t>
  </si>
  <si>
    <t>Solenoid Valve inspection</t>
  </si>
  <si>
    <t>Electrical Connection inspection</t>
  </si>
  <si>
    <t>Plumbing check</t>
  </si>
  <si>
    <t>MFC inspection</t>
  </si>
  <si>
    <t>Test Station</t>
  </si>
  <si>
    <t>Initial MFC check</t>
  </si>
  <si>
    <t>cal dates</t>
  </si>
  <si>
    <t>size</t>
  </si>
  <si>
    <t>MFCs</t>
  </si>
  <si>
    <t>*Flow all anode gases (H2, CH4, N2) to setpoint</t>
  </si>
  <si>
    <t>*Set Pneumatic load to 1 1/4 turns</t>
  </si>
  <si>
    <t>Initial "High Load" Reading</t>
  </si>
  <si>
    <t>Final "Low Load" Reading</t>
  </si>
  <si>
    <t>Initial "Low Load" Reading</t>
  </si>
  <si>
    <t>"Low Load" Drift</t>
  </si>
  <si>
    <t>Nitrogen header valve</t>
  </si>
  <si>
    <t>Final "High Load" Reading</t>
  </si>
  <si>
    <t>"High Load" Drift</t>
  </si>
  <si>
    <t>Pressure Transducer readings</t>
  </si>
  <si>
    <t xml:space="preserve">Fuel Leak check </t>
  </si>
  <si>
    <t>Pneumatic Load inspection</t>
  </si>
  <si>
    <t>1 of 1</t>
  </si>
  <si>
    <t>in spec?</t>
  </si>
  <si>
    <t>Pressure increase &gt; 0.002 or decrease &lt; 0.01 psi/min?</t>
  </si>
  <si>
    <t>Pressure decrease &gt; 0.01 or increase &lt; 0.002 psi/min?</t>
  </si>
  <si>
    <r>
      <t xml:space="preserve">*Set Pneumatic Load to </t>
    </r>
    <r>
      <rPr>
        <b/>
        <sz val="10"/>
        <color rgb="FFFF0000"/>
        <rFont val="Arial"/>
        <family val="2"/>
      </rPr>
      <t>Low</t>
    </r>
  </si>
  <si>
    <r>
      <t xml:space="preserve">*Set Pneumatic Load to </t>
    </r>
    <r>
      <rPr>
        <b/>
        <sz val="10"/>
        <color rgb="FFFF0000"/>
        <rFont val="Arial"/>
        <family val="2"/>
      </rPr>
      <t>High</t>
    </r>
  </si>
  <si>
    <t>NA</t>
  </si>
  <si>
    <t>Preflight Status</t>
  </si>
  <si>
    <t>PASSED</t>
  </si>
  <si>
    <t>FAILED</t>
  </si>
  <si>
    <t xml:space="preserve">Data Validation </t>
  </si>
  <si>
    <t>:</t>
  </si>
  <si>
    <t>Initial inspection</t>
  </si>
  <si>
    <t>Header Valve positions</t>
  </si>
  <si>
    <t>100% (5 bars)</t>
  </si>
  <si>
    <t>80% (4 bars)</t>
  </si>
  <si>
    <t>&lt;60% (3 bars or less)</t>
  </si>
  <si>
    <t>Test technician comments</t>
  </si>
  <si>
    <t>Stacks to be installed</t>
  </si>
  <si>
    <t>Type A</t>
  </si>
  <si>
    <t>Type B</t>
  </si>
  <si>
    <t>Extra N2 MFC</t>
  </si>
  <si>
    <t>DOC-0005045.b</t>
  </si>
  <si>
    <r>
      <t>Released</t>
    </r>
    <r>
      <rPr>
        <sz val="10"/>
        <rFont val="Arial"/>
        <family val="2"/>
      </rPr>
      <t>: 5/8/2018</t>
    </r>
  </si>
  <si>
    <r>
      <t>Document Title:</t>
    </r>
    <r>
      <rPr>
        <sz val="10"/>
        <rFont val="Arial"/>
        <family val="2"/>
      </rPr>
      <t xml:space="preserve">  Abbreviated Preflight Checklist</t>
    </r>
  </si>
  <si>
    <t>PASS</t>
  </si>
  <si>
    <t>FAIL</t>
  </si>
  <si>
    <t>Manifold flatness [in]</t>
  </si>
  <si>
    <t>OPEN</t>
  </si>
  <si>
    <t>CLOSED</t>
  </si>
  <si>
    <t>TS-1</t>
  </si>
  <si>
    <t>TS-4</t>
  </si>
  <si>
    <t>TS-5</t>
  </si>
  <si>
    <t>TS-6</t>
  </si>
  <si>
    <t>TS-7</t>
  </si>
  <si>
    <t>TS-8</t>
  </si>
  <si>
    <t>TS-9</t>
  </si>
  <si>
    <t>TS-10</t>
  </si>
  <si>
    <t>TS-11</t>
  </si>
  <si>
    <t>TS-12</t>
  </si>
  <si>
    <t>TS-15</t>
  </si>
  <si>
    <t>TS-16</t>
  </si>
  <si>
    <t>TS-17</t>
  </si>
  <si>
    <t>TS-18</t>
  </si>
  <si>
    <t>TS-22</t>
  </si>
  <si>
    <t>TS-38</t>
  </si>
  <si>
    <t>TS-39</t>
  </si>
  <si>
    <t>TS-187</t>
  </si>
  <si>
    <t>TS-188</t>
  </si>
  <si>
    <t>TS-28</t>
  </si>
  <si>
    <t>TS-29</t>
  </si>
  <si>
    <t>TS-30</t>
  </si>
  <si>
    <t>TS-36</t>
  </si>
  <si>
    <t>TS-67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</si>
</sst>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b/>
      <u/>
      <sz val="12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Tahoma"/>
      <family val="2"/>
    </font>
    <font>
      <sz val="8"/>
      <name val="Tahoma"/>
      <family val="2"/>
    </font>
    <font>
      <b/>
      <sz val="8"/>
      <name val="Tahoma"/>
      <family val="2"/>
    </font>
    <font>
      <b/>
      <sz val="8"/>
      <name val="Arial"/>
      <family val="2"/>
    </font>
    <font>
      <b/>
      <sz val="10"/>
      <color theme="6" tint="-0.499984740745262"/>
      <name val="Arial"/>
      <family val="2"/>
    </font>
    <font>
      <b/>
      <sz val="10"/>
      <color rgb="FFFF0000"/>
      <name val="Arial"/>
      <family val="2"/>
    </font>
    <font>
      <b/>
      <sz val="10"/>
      <color rgb="FF00B050"/>
      <name val="Arial"/>
      <family val="2"/>
    </font>
    <font>
      <b/>
      <sz val="10"/>
      <color rgb="FF92D050"/>
      <name val="Arial"/>
      <family val="2"/>
    </font>
    <font>
      <b/>
      <sz val="8"/>
      <color rgb="FFFF0000"/>
      <name val="Arial"/>
      <family val="2"/>
    </font>
    <font>
      <b/>
      <sz val="11"/>
      <color rgb="FFFF0000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b/>
      <sz val="12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8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</fills>
  <borders count="81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9" fillId="0" borderId="0" applyFont="0" applyFill="0" applyBorder="0" applyAlignment="0" applyProtection="0"/>
  </cellStyleXfs>
  <cellXfs count="371">
    <xf numFmtId="0" fontId="0" fillId="0" borderId="0" xfId="0"/>
    <xf numFmtId="0" fontId="1" fillId="0" borderId="0" xfId="0" applyFont="1"/>
    <xf numFmtId="49" fontId="13" fillId="3" borderId="0" xfId="0" applyNumberFormat="1" applyFont="1" applyFill="1"/>
    <xf numFmtId="49" fontId="14" fillId="0" borderId="0" xfId="0" applyNumberFormat="1" applyFont="1"/>
    <xf numFmtId="0" fontId="14" fillId="0" borderId="0" xfId="0" applyFont="1"/>
    <xf numFmtId="0" fontId="2" fillId="0" borderId="0" xfId="0" applyFont="1"/>
    <xf numFmtId="49" fontId="15" fillId="3" borderId="0" xfId="0" applyNumberFormat="1" applyFont="1" applyFill="1" applyAlignment="1">
      <alignment horizontal="center" vertical="center"/>
    </xf>
    <xf numFmtId="49" fontId="2" fillId="5" borderId="0" xfId="0" applyNumberFormat="1" applyFont="1" applyFill="1" applyAlignment="1">
      <alignment horizontal="center" vertical="center"/>
    </xf>
    <xf numFmtId="49" fontId="13" fillId="3" borderId="0" xfId="0" applyNumberFormat="1" applyFont="1" applyFill="1" applyAlignment="1">
      <alignment horizontal="center" vertical="center"/>
    </xf>
    <xf numFmtId="0" fontId="1" fillId="0" borderId="0" xfId="0" quotePrefix="1" applyFont="1"/>
    <xf numFmtId="0" fontId="0" fillId="3" borderId="0" xfId="0" applyFill="1" applyProtection="1">
      <protection locked="0"/>
    </xf>
    <xf numFmtId="0" fontId="0" fillId="0" borderId="0" xfId="0" applyProtection="1">
      <protection locked="0"/>
    </xf>
    <xf numFmtId="0" fontId="0" fillId="3" borderId="0" xfId="0" applyFill="1" applyBorder="1" applyAlignment="1" applyProtection="1">
      <alignment horizontal="center" vertical="center"/>
      <protection locked="0"/>
    </xf>
    <xf numFmtId="0" fontId="1" fillId="3" borderId="4" xfId="0" applyFont="1" applyFill="1" applyBorder="1" applyAlignment="1" applyProtection="1">
      <alignment horizontal="center" vertical="center"/>
      <protection locked="0"/>
    </xf>
    <xf numFmtId="0" fontId="1" fillId="3" borderId="0" xfId="0" applyFont="1" applyFill="1" applyBorder="1" applyAlignment="1" applyProtection="1">
      <alignment horizontal="center" vertical="center"/>
      <protection locked="0"/>
    </xf>
    <xf numFmtId="0" fontId="7" fillId="0" borderId="0" xfId="0" applyFont="1" applyProtection="1">
      <protection locked="0"/>
    </xf>
    <xf numFmtId="0" fontId="2" fillId="3" borderId="64" xfId="0" applyFont="1" applyFill="1" applyBorder="1" applyAlignment="1" applyProtection="1">
      <alignment horizontal="center" vertical="center" wrapText="1"/>
      <protection locked="0"/>
    </xf>
    <xf numFmtId="0" fontId="0" fillId="3" borderId="0" xfId="0" applyFill="1" applyBorder="1" applyProtection="1">
      <protection locked="0"/>
    </xf>
    <xf numFmtId="0" fontId="2" fillId="3" borderId="10" xfId="0" applyFont="1" applyFill="1" applyBorder="1" applyAlignment="1" applyProtection="1">
      <alignment horizontal="center" vertical="center" wrapText="1"/>
      <protection locked="0"/>
    </xf>
    <xf numFmtId="0" fontId="1" fillId="3" borderId="65" xfId="0" applyFont="1" applyFill="1" applyBorder="1" applyAlignment="1" applyProtection="1">
      <alignment horizontal="center" vertical="center"/>
      <protection locked="0"/>
    </xf>
    <xf numFmtId="0" fontId="1" fillId="0" borderId="11" xfId="0" applyFont="1" applyFill="1" applyBorder="1" applyAlignment="1" applyProtection="1">
      <alignment horizontal="center" vertical="center"/>
      <protection locked="0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0" borderId="12" xfId="0" applyFont="1" applyFill="1" applyBorder="1" applyAlignment="1" applyProtection="1">
      <alignment horizontal="center" vertical="center"/>
      <protection locked="0"/>
    </xf>
    <xf numFmtId="0" fontId="1" fillId="0" borderId="4" xfId="0" applyFont="1" applyFill="1" applyBorder="1" applyAlignment="1" applyProtection="1">
      <alignment horizontal="center" vertical="center"/>
      <protection locked="0"/>
    </xf>
    <xf numFmtId="0" fontId="1" fillId="0" borderId="9" xfId="0" applyFont="1" applyFill="1" applyBorder="1" applyAlignment="1" applyProtection="1">
      <alignment horizontal="center" vertical="center"/>
      <protection locked="0"/>
    </xf>
    <xf numFmtId="0" fontId="1" fillId="0" borderId="15" xfId="0" applyFont="1" applyFill="1" applyBorder="1" applyAlignment="1" applyProtection="1">
      <alignment horizontal="center" vertical="center"/>
      <protection locked="0"/>
    </xf>
    <xf numFmtId="0" fontId="1" fillId="0" borderId="16" xfId="0" applyFont="1" applyFill="1" applyBorder="1" applyAlignment="1" applyProtection="1">
      <alignment horizontal="center" vertical="center"/>
      <protection locked="0"/>
    </xf>
    <xf numFmtId="0" fontId="1" fillId="2" borderId="16" xfId="0" applyFont="1" applyFill="1" applyBorder="1" applyAlignment="1" applyProtection="1">
      <alignment horizontal="center" vertical="center"/>
      <protection locked="0"/>
    </xf>
    <xf numFmtId="0" fontId="2" fillId="3" borderId="8" xfId="0" applyFont="1" applyFill="1" applyBorder="1" applyAlignment="1" applyProtection="1">
      <alignment horizontal="center" vertical="center"/>
      <protection locked="0"/>
    </xf>
    <xf numFmtId="0" fontId="0" fillId="2" borderId="0" xfId="0" applyFill="1" applyProtection="1">
      <protection locked="0"/>
    </xf>
    <xf numFmtId="0" fontId="0" fillId="8" borderId="0" xfId="0" applyFill="1" applyProtection="1">
      <protection locked="0"/>
    </xf>
    <xf numFmtId="0" fontId="0" fillId="10" borderId="0" xfId="0" applyFill="1" applyProtection="1">
      <protection locked="0"/>
    </xf>
    <xf numFmtId="0" fontId="0" fillId="8" borderId="0" xfId="0" applyFill="1" applyBorder="1" applyProtection="1">
      <protection locked="0"/>
    </xf>
    <xf numFmtId="0" fontId="0" fillId="8" borderId="17" xfId="0" applyFill="1" applyBorder="1" applyProtection="1">
      <protection locked="0"/>
    </xf>
    <xf numFmtId="0" fontId="0" fillId="8" borderId="41" xfId="0" applyFill="1" applyBorder="1" applyProtection="1">
      <protection locked="0"/>
    </xf>
    <xf numFmtId="0" fontId="1" fillId="8" borderId="41" xfId="0" applyFont="1" applyFill="1" applyBorder="1" applyProtection="1">
      <protection locked="0"/>
    </xf>
    <xf numFmtId="0" fontId="7" fillId="8" borderId="41" xfId="0" applyFont="1" applyFill="1" applyBorder="1" applyProtection="1">
      <protection locked="0"/>
    </xf>
    <xf numFmtId="0" fontId="4" fillId="8" borderId="41" xfId="0" applyFont="1" applyFill="1" applyBorder="1" applyAlignment="1" applyProtection="1">
      <alignment horizontal="center" vertical="center"/>
      <protection locked="0"/>
    </xf>
    <xf numFmtId="0" fontId="2" fillId="3" borderId="65" xfId="0" applyFont="1" applyFill="1" applyBorder="1" applyAlignment="1" applyProtection="1">
      <alignment horizontal="center" vertical="center"/>
      <protection locked="0"/>
    </xf>
    <xf numFmtId="0" fontId="1" fillId="3" borderId="22" xfId="0" applyFont="1" applyFill="1" applyBorder="1" applyAlignment="1" applyProtection="1">
      <alignment horizontal="center" vertical="center"/>
      <protection locked="0"/>
    </xf>
    <xf numFmtId="20" fontId="2" fillId="4" borderId="42" xfId="0" applyNumberFormat="1" applyFont="1" applyFill="1" applyBorder="1" applyAlignment="1" applyProtection="1">
      <alignment horizontal="center" vertical="center"/>
      <protection locked="0"/>
    </xf>
    <xf numFmtId="20" fontId="2" fillId="4" borderId="65" xfId="0" applyNumberFormat="1" applyFont="1" applyFill="1" applyBorder="1" applyAlignment="1" applyProtection="1">
      <alignment horizontal="center" vertical="center"/>
      <protection locked="0"/>
    </xf>
    <xf numFmtId="0" fontId="1" fillId="3" borderId="24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61" xfId="0" applyFont="1" applyFill="1" applyBorder="1" applyAlignment="1" applyProtection="1">
      <alignment horizontal="center" vertical="center"/>
      <protection locked="0"/>
    </xf>
    <xf numFmtId="0" fontId="1" fillId="9" borderId="68" xfId="0" applyFont="1" applyFill="1" applyBorder="1" applyAlignment="1" applyProtection="1">
      <alignment horizontal="center" vertical="center"/>
    </xf>
    <xf numFmtId="0" fontId="1" fillId="9" borderId="62" xfId="0" applyFont="1" applyFill="1" applyBorder="1" applyAlignment="1" applyProtection="1">
      <alignment horizontal="center" vertical="center"/>
    </xf>
    <xf numFmtId="0" fontId="1" fillId="9" borderId="2" xfId="0" applyFont="1" applyFill="1" applyBorder="1" applyAlignment="1" applyProtection="1">
      <alignment horizontal="center" vertical="center"/>
    </xf>
    <xf numFmtId="0" fontId="1" fillId="9" borderId="65" xfId="0" applyNumberFormat="1" applyFont="1" applyFill="1" applyBorder="1" applyAlignment="1" applyProtection="1">
      <alignment horizontal="center" vertical="center"/>
    </xf>
    <xf numFmtId="0" fontId="2" fillId="3" borderId="45" xfId="0" applyFont="1" applyFill="1" applyBorder="1" applyAlignment="1" applyProtection="1">
      <alignment horizontal="center" vertical="center"/>
      <protection locked="0"/>
    </xf>
    <xf numFmtId="0" fontId="2" fillId="2" borderId="24" xfId="0" applyFont="1" applyFill="1" applyBorder="1" applyAlignment="1" applyProtection="1">
      <alignment horizontal="center" vertical="center"/>
      <protection locked="0"/>
    </xf>
    <xf numFmtId="14" fontId="1" fillId="3" borderId="4" xfId="0" applyNumberFormat="1" applyFont="1" applyFill="1" applyBorder="1" applyAlignment="1" applyProtection="1">
      <alignment horizontal="center" vertical="center" wrapText="1"/>
      <protection locked="0"/>
    </xf>
    <xf numFmtId="14" fontId="1" fillId="9" borderId="18" xfId="0" applyNumberFormat="1" applyFont="1" applyFill="1" applyBorder="1" applyAlignment="1" applyProtection="1">
      <alignment horizontal="center" vertical="center"/>
    </xf>
    <xf numFmtId="0" fontId="1" fillId="9" borderId="4" xfId="0" applyFont="1" applyFill="1" applyBorder="1" applyAlignment="1" applyProtection="1">
      <alignment horizontal="center" vertical="center"/>
    </xf>
    <xf numFmtId="0" fontId="1" fillId="3" borderId="7" xfId="0" applyFont="1" applyFill="1" applyBorder="1" applyAlignment="1" applyProtection="1">
      <alignment horizontal="center" vertical="center"/>
      <protection locked="0"/>
    </xf>
    <xf numFmtId="0" fontId="1" fillId="3" borderId="8" xfId="0" applyFont="1" applyFill="1" applyBorder="1" applyAlignment="1" applyProtection="1">
      <alignment horizontal="center" vertical="center"/>
      <protection locked="0"/>
    </xf>
    <xf numFmtId="0" fontId="1" fillId="9" borderId="70" xfId="0" applyFont="1" applyFill="1" applyBorder="1" applyAlignment="1" applyProtection="1">
      <alignment horizontal="center" vertical="center"/>
    </xf>
    <xf numFmtId="14" fontId="1" fillId="9" borderId="44" xfId="0" applyNumberFormat="1" applyFont="1" applyFill="1" applyBorder="1" applyAlignment="1" applyProtection="1">
      <alignment horizontal="center" vertical="center"/>
    </xf>
    <xf numFmtId="0" fontId="1" fillId="9" borderId="24" xfId="0" applyFont="1" applyFill="1" applyBorder="1" applyAlignment="1" applyProtection="1">
      <alignment horizontal="center" vertical="center"/>
    </xf>
    <xf numFmtId="0" fontId="1" fillId="9" borderId="45" xfId="0" applyFont="1" applyFill="1" applyBorder="1" applyAlignment="1" applyProtection="1">
      <alignment horizontal="center" vertical="center"/>
    </xf>
    <xf numFmtId="0" fontId="1" fillId="3" borderId="6" xfId="0" applyFont="1" applyFill="1" applyBorder="1" applyAlignment="1" applyProtection="1">
      <alignment horizontal="center" vertical="center"/>
      <protection locked="0"/>
    </xf>
    <xf numFmtId="10" fontId="1" fillId="9" borderId="12" xfId="1" applyNumberFormat="1" applyFont="1" applyFill="1" applyBorder="1" applyAlignment="1" applyProtection="1">
      <alignment horizontal="center" vertical="center"/>
    </xf>
    <xf numFmtId="10" fontId="1" fillId="9" borderId="9" xfId="1" applyNumberFormat="1" applyFont="1" applyFill="1" applyBorder="1" applyAlignment="1" applyProtection="1">
      <alignment horizontal="center" vertical="center"/>
    </xf>
    <xf numFmtId="10" fontId="1" fillId="9" borderId="15" xfId="1" applyNumberFormat="1" applyFont="1" applyFill="1" applyBorder="1" applyAlignment="1" applyProtection="1">
      <alignment horizontal="center" vertical="center"/>
    </xf>
    <xf numFmtId="14" fontId="1" fillId="8" borderId="41" xfId="0" applyNumberFormat="1" applyFont="1" applyFill="1" applyBorder="1" applyProtection="1">
      <protection locked="0"/>
    </xf>
    <xf numFmtId="0" fontId="1" fillId="8" borderId="0" xfId="0" applyFont="1" applyFill="1" applyProtection="1"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9" fontId="1" fillId="0" borderId="0" xfId="0" applyNumberFormat="1" applyFont="1"/>
    <xf numFmtId="14" fontId="1" fillId="3" borderId="70" xfId="0" applyNumberFormat="1" applyFont="1" applyFill="1" applyBorder="1" applyAlignment="1" applyProtection="1">
      <alignment horizontal="center" vertical="center" wrapText="1"/>
      <protection locked="0"/>
    </xf>
    <xf numFmtId="0" fontId="1" fillId="3" borderId="45" xfId="0" applyNumberFormat="1" applyFont="1" applyFill="1" applyBorder="1" applyAlignment="1" applyProtection="1">
      <alignment horizontal="center" vertical="center" wrapText="1"/>
      <protection locked="0"/>
    </xf>
    <xf numFmtId="0" fontId="0" fillId="3" borderId="58" xfId="0" applyFill="1" applyBorder="1" applyProtection="1"/>
    <xf numFmtId="0" fontId="2" fillId="3" borderId="4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 wrapText="1"/>
    </xf>
    <xf numFmtId="0" fontId="1" fillId="3" borderId="41" xfId="0" applyFont="1" applyFill="1" applyBorder="1" applyAlignment="1" applyProtection="1">
      <alignment horizontal="center" vertical="center" wrapText="1"/>
    </xf>
    <xf numFmtId="0" fontId="1" fillId="3" borderId="58" xfId="0" applyFont="1" applyFill="1" applyBorder="1" applyProtection="1"/>
    <xf numFmtId="0" fontId="7" fillId="3" borderId="58" xfId="0" applyFont="1" applyFill="1" applyBorder="1" applyProtection="1"/>
    <xf numFmtId="0" fontId="4" fillId="3" borderId="58" xfId="0" applyFont="1" applyFill="1" applyBorder="1" applyAlignment="1" applyProtection="1">
      <alignment horizontal="center" vertical="center"/>
    </xf>
    <xf numFmtId="0" fontId="0" fillId="3" borderId="54" xfId="0" applyFill="1" applyBorder="1" applyProtection="1"/>
    <xf numFmtId="0" fontId="0" fillId="3" borderId="41" xfId="0" applyFill="1" applyBorder="1" applyAlignment="1" applyProtection="1">
      <alignment horizontal="center" vertical="center"/>
    </xf>
    <xf numFmtId="0" fontId="1" fillId="3" borderId="41" xfId="0" applyFont="1" applyFill="1" applyBorder="1" applyAlignment="1" applyProtection="1">
      <alignment horizontal="center" vertical="center"/>
    </xf>
    <xf numFmtId="0" fontId="18" fillId="3" borderId="41" xfId="0" applyFont="1" applyFill="1" applyBorder="1" applyAlignment="1" applyProtection="1">
      <alignment horizontal="center" vertical="center"/>
    </xf>
    <xf numFmtId="0" fontId="2" fillId="3" borderId="41" xfId="0" applyFont="1" applyFill="1" applyBorder="1" applyAlignment="1" applyProtection="1">
      <alignment horizontal="center" vertical="center"/>
    </xf>
    <xf numFmtId="0" fontId="17" fillId="3" borderId="41" xfId="0" applyFont="1" applyFill="1" applyBorder="1" applyAlignment="1" applyProtection="1">
      <alignment horizontal="center" vertical="center"/>
    </xf>
    <xf numFmtId="0" fontId="12" fillId="3" borderId="41" xfId="0" applyFont="1" applyFill="1" applyBorder="1" applyAlignment="1" applyProtection="1">
      <alignment horizontal="center" vertical="center" wrapText="1"/>
    </xf>
    <xf numFmtId="0" fontId="1" fillId="3" borderId="41" xfId="0" applyNumberFormat="1" applyFont="1" applyFill="1" applyBorder="1" applyAlignment="1" applyProtection="1">
      <alignment horizontal="center" vertical="center"/>
    </xf>
    <xf numFmtId="0" fontId="16" fillId="3" borderId="41" xfId="0" applyFont="1" applyFill="1" applyBorder="1" applyAlignment="1" applyProtection="1">
      <alignment horizontal="center" vertical="center"/>
    </xf>
    <xf numFmtId="0" fontId="1" fillId="3" borderId="41" xfId="0" applyFont="1" applyFill="1" applyBorder="1" applyAlignment="1" applyProtection="1">
      <alignment horizontal="left" vertical="center"/>
    </xf>
    <xf numFmtId="0" fontId="2" fillId="3" borderId="41" xfId="0" applyFont="1" applyFill="1" applyBorder="1" applyAlignment="1" applyProtection="1">
      <alignment horizontal="left" vertical="center" wrapText="1"/>
    </xf>
    <xf numFmtId="0" fontId="5" fillId="3" borderId="41" xfId="0" applyFont="1" applyFill="1" applyBorder="1" applyAlignment="1" applyProtection="1">
      <alignment horizontal="left" vertical="center"/>
    </xf>
    <xf numFmtId="0" fontId="9" fillId="3" borderId="41" xfId="0" applyFont="1" applyFill="1" applyBorder="1" applyAlignment="1" applyProtection="1">
      <alignment horizontal="center" vertical="center"/>
    </xf>
    <xf numFmtId="0" fontId="0" fillId="3" borderId="41" xfId="0" applyFill="1" applyBorder="1" applyProtection="1"/>
    <xf numFmtId="0" fontId="11" fillId="3" borderId="41" xfId="0" applyFont="1" applyFill="1" applyBorder="1" applyAlignment="1" applyProtection="1">
      <alignment horizontal="center" vertical="center" wrapText="1"/>
    </xf>
    <xf numFmtId="0" fontId="4" fillId="3" borderId="41" xfId="0" applyFont="1" applyFill="1" applyBorder="1" applyAlignment="1" applyProtection="1">
      <alignment horizontal="center" vertical="center" wrapText="1"/>
    </xf>
    <xf numFmtId="0" fontId="0" fillId="3" borderId="43" xfId="0" applyFill="1" applyBorder="1" applyProtection="1"/>
    <xf numFmtId="0" fontId="1" fillId="3" borderId="0" xfId="0" applyFont="1" applyFill="1" applyBorder="1" applyAlignment="1" applyProtection="1">
      <alignment horizontal="center" vertical="center"/>
    </xf>
    <xf numFmtId="0" fontId="9" fillId="3" borderId="0" xfId="0" applyFont="1" applyFill="1" applyBorder="1" applyAlignment="1" applyProtection="1">
      <alignment horizontal="center" vertical="center"/>
    </xf>
    <xf numFmtId="0" fontId="8" fillId="3" borderId="0" xfId="0" applyFont="1" applyFill="1" applyBorder="1" applyAlignment="1" applyProtection="1">
      <alignment horizontal="center" vertical="center"/>
    </xf>
    <xf numFmtId="0" fontId="10" fillId="3" borderId="0" xfId="0" applyFont="1" applyFill="1" applyBorder="1" applyAlignment="1" applyProtection="1">
      <alignment horizontal="center" vertical="center"/>
    </xf>
    <xf numFmtId="0" fontId="11" fillId="3" borderId="37" xfId="0" applyFont="1" applyFill="1" applyBorder="1" applyAlignment="1" applyProtection="1">
      <alignment horizontal="center" vertical="center" wrapText="1"/>
    </xf>
    <xf numFmtId="0" fontId="11" fillId="3" borderId="38" xfId="0" applyFont="1" applyFill="1" applyBorder="1" applyAlignment="1" applyProtection="1">
      <alignment horizontal="center" vertical="center" wrapText="1"/>
    </xf>
    <xf numFmtId="0" fontId="11" fillId="3" borderId="39" xfId="0" applyFont="1" applyFill="1" applyBorder="1" applyAlignment="1" applyProtection="1">
      <alignment horizontal="center" vertical="center" wrapText="1"/>
    </xf>
    <xf numFmtId="0" fontId="4" fillId="3" borderId="0" xfId="0" applyFont="1" applyFill="1" applyBorder="1" applyAlignment="1" applyProtection="1">
      <alignment horizontal="center" vertical="center" wrapText="1"/>
    </xf>
    <xf numFmtId="0" fontId="0" fillId="3" borderId="0" xfId="0" applyFill="1" applyBorder="1" applyAlignment="1" applyProtection="1">
      <alignment horizontal="center" vertical="center"/>
    </xf>
    <xf numFmtId="0" fontId="4" fillId="3" borderId="35" xfId="0" applyFont="1" applyFill="1" applyBorder="1" applyAlignment="1" applyProtection="1">
      <alignment horizontal="center" vertical="center" wrapText="1"/>
    </xf>
    <xf numFmtId="0" fontId="4" fillId="3" borderId="23" xfId="0" applyFont="1" applyFill="1" applyBorder="1" applyAlignment="1" applyProtection="1">
      <alignment horizontal="center" vertical="center" wrapText="1"/>
    </xf>
    <xf numFmtId="0" fontId="4" fillId="3" borderId="36" xfId="0" applyFont="1" applyFill="1" applyBorder="1" applyAlignment="1" applyProtection="1">
      <alignment horizontal="center" vertical="center" wrapText="1"/>
    </xf>
    <xf numFmtId="0" fontId="4" fillId="3" borderId="25" xfId="0" applyFont="1" applyFill="1" applyBorder="1" applyAlignment="1" applyProtection="1">
      <alignment horizontal="center" vertical="center" wrapText="1"/>
    </xf>
    <xf numFmtId="0" fontId="4" fillId="3" borderId="4" xfId="0" applyFont="1" applyFill="1" applyBorder="1" applyAlignment="1" applyProtection="1">
      <alignment horizontal="center" vertical="center" wrapText="1"/>
    </xf>
    <xf numFmtId="0" fontId="4" fillId="3" borderId="26" xfId="0" applyFont="1" applyFill="1" applyBorder="1" applyAlignment="1" applyProtection="1">
      <alignment horizontal="center" vertical="center" wrapText="1"/>
    </xf>
    <xf numFmtId="0" fontId="4" fillId="3" borderId="27" xfId="0" applyFont="1" applyFill="1" applyBorder="1" applyAlignment="1" applyProtection="1">
      <alignment horizontal="center" vertical="center" wrapText="1"/>
    </xf>
    <xf numFmtId="0" fontId="4" fillId="3" borderId="28" xfId="0" applyFont="1" applyFill="1" applyBorder="1" applyAlignment="1" applyProtection="1">
      <alignment horizontal="center" vertical="center" wrapText="1"/>
    </xf>
    <xf numFmtId="0" fontId="4" fillId="3" borderId="31" xfId="0" applyFont="1" applyFill="1" applyBorder="1" applyAlignment="1" applyProtection="1">
      <alignment horizontal="center" vertical="center" wrapText="1"/>
    </xf>
    <xf numFmtId="0" fontId="0" fillId="3" borderId="32" xfId="0" applyFill="1" applyBorder="1" applyAlignment="1" applyProtection="1">
      <alignment horizontal="center" vertical="center"/>
    </xf>
    <xf numFmtId="0" fontId="4" fillId="3" borderId="30" xfId="0" applyFont="1" applyFill="1" applyBorder="1" applyAlignment="1" applyProtection="1">
      <alignment horizontal="center" vertical="center" wrapText="1"/>
    </xf>
    <xf numFmtId="0" fontId="0" fillId="3" borderId="34" xfId="0" applyFill="1" applyBorder="1" applyProtection="1"/>
    <xf numFmtId="0" fontId="8" fillId="3" borderId="34" xfId="0" applyFont="1" applyFill="1" applyBorder="1" applyAlignment="1" applyProtection="1">
      <alignment horizontal="center" vertical="center"/>
    </xf>
    <xf numFmtId="0" fontId="4" fillId="3" borderId="33" xfId="0" applyFont="1" applyFill="1" applyBorder="1" applyAlignment="1" applyProtection="1">
      <alignment horizontal="center" vertical="center" wrapText="1"/>
    </xf>
    <xf numFmtId="0" fontId="4" fillId="3" borderId="40" xfId="0" applyFont="1" applyFill="1" applyBorder="1" applyAlignment="1" applyProtection="1">
      <alignment horizontal="center" vertical="center" wrapText="1"/>
    </xf>
    <xf numFmtId="0" fontId="4" fillId="3" borderId="18" xfId="0" applyFont="1" applyFill="1" applyBorder="1" applyAlignment="1" applyProtection="1">
      <alignment horizontal="center" vertical="center" wrapText="1"/>
    </xf>
    <xf numFmtId="0" fontId="4" fillId="3" borderId="29" xfId="0" applyFont="1" applyFill="1" applyBorder="1" applyAlignment="1" applyProtection="1">
      <alignment horizontal="center" vertical="center" wrapText="1"/>
    </xf>
    <xf numFmtId="0" fontId="4" fillId="3" borderId="55" xfId="0" applyFont="1" applyFill="1" applyBorder="1" applyAlignment="1" applyProtection="1">
      <alignment horizontal="center" vertical="center" wrapText="1"/>
    </xf>
    <xf numFmtId="0" fontId="0" fillId="3" borderId="55" xfId="0" applyFill="1" applyBorder="1" applyProtection="1"/>
    <xf numFmtId="0" fontId="2" fillId="6" borderId="6" xfId="0" applyFont="1" applyFill="1" applyBorder="1" applyAlignment="1" applyProtection="1">
      <alignment horizontal="center" vertical="center" wrapText="1"/>
    </xf>
    <xf numFmtId="0" fontId="1" fillId="4" borderId="11" xfId="0" applyFont="1" applyFill="1" applyBorder="1" applyAlignment="1" applyProtection="1">
      <alignment horizontal="center" vertical="center"/>
    </xf>
    <xf numFmtId="0" fontId="1" fillId="4" borderId="60" xfId="0" applyFont="1" applyFill="1" applyBorder="1" applyAlignment="1" applyProtection="1">
      <alignment horizontal="center" vertical="center"/>
    </xf>
    <xf numFmtId="0" fontId="2" fillId="6" borderId="7" xfId="0" applyFont="1" applyFill="1" applyBorder="1" applyAlignment="1" applyProtection="1">
      <alignment horizontal="center" vertical="center" wrapText="1"/>
    </xf>
    <xf numFmtId="0" fontId="2" fillId="6" borderId="8" xfId="0" applyFont="1" applyFill="1" applyBorder="1" applyAlignment="1" applyProtection="1">
      <alignment horizontal="center" vertical="center" wrapText="1"/>
    </xf>
    <xf numFmtId="0" fontId="1" fillId="6" borderId="69" xfId="0" applyFont="1" applyFill="1" applyBorder="1" applyAlignment="1" applyProtection="1">
      <alignment horizontal="center" vertical="center"/>
    </xf>
    <xf numFmtId="0" fontId="1" fillId="6" borderId="8" xfId="0" applyFont="1" applyFill="1" applyBorder="1" applyAlignment="1" applyProtection="1">
      <alignment horizontal="center" vertical="center"/>
    </xf>
    <xf numFmtId="0" fontId="2" fillId="6" borderId="2" xfId="0" applyFont="1" applyFill="1" applyBorder="1" applyAlignment="1" applyProtection="1">
      <alignment horizontal="center" vertical="center"/>
    </xf>
    <xf numFmtId="0" fontId="1" fillId="6" borderId="66" xfId="0" applyFont="1" applyFill="1" applyBorder="1" applyAlignment="1" applyProtection="1">
      <alignment horizontal="center" vertical="center"/>
    </xf>
    <xf numFmtId="0" fontId="1" fillId="6" borderId="71" xfId="0" applyFont="1" applyFill="1" applyBorder="1" applyAlignment="1" applyProtection="1">
      <alignment horizontal="center" vertical="center"/>
    </xf>
    <xf numFmtId="0" fontId="2" fillId="4" borderId="72" xfId="0" applyFont="1" applyFill="1" applyBorder="1" applyAlignment="1" applyProtection="1">
      <alignment horizontal="center" vertical="center"/>
    </xf>
    <xf numFmtId="0" fontId="2" fillId="4" borderId="14" xfId="0" applyFont="1" applyFill="1" applyBorder="1" applyAlignment="1" applyProtection="1">
      <alignment horizontal="center" vertical="center"/>
    </xf>
    <xf numFmtId="0" fontId="2" fillId="4" borderId="73" xfId="0" applyFont="1" applyFill="1" applyBorder="1" applyAlignment="1" applyProtection="1">
      <alignment horizontal="center" vertical="center"/>
    </xf>
    <xf numFmtId="0" fontId="2" fillId="4" borderId="68" xfId="0" applyFont="1" applyFill="1" applyBorder="1" applyAlignment="1" applyProtection="1">
      <alignment horizontal="center" vertical="center"/>
    </xf>
    <xf numFmtId="0" fontId="2" fillId="6" borderId="65" xfId="0" applyFont="1" applyFill="1" applyBorder="1" applyAlignment="1" applyProtection="1">
      <alignment horizontal="center" vertical="center"/>
    </xf>
    <xf numFmtId="0" fontId="2" fillId="6" borderId="67" xfId="0" applyFont="1" applyFill="1" applyBorder="1" applyAlignment="1" applyProtection="1">
      <alignment horizontal="center" vertical="center"/>
    </xf>
    <xf numFmtId="0" fontId="1" fillId="3" borderId="57" xfId="0" applyFont="1" applyFill="1" applyBorder="1" applyAlignment="1" applyProtection="1">
      <alignment horizontal="center" vertical="center"/>
    </xf>
    <xf numFmtId="0" fontId="1" fillId="3" borderId="13" xfId="0" applyFont="1" applyFill="1" applyBorder="1" applyAlignment="1" applyProtection="1">
      <alignment horizontal="center" vertical="center"/>
    </xf>
    <xf numFmtId="0" fontId="2" fillId="6" borderId="3" xfId="0" applyFont="1" applyFill="1" applyBorder="1" applyAlignment="1" applyProtection="1">
      <alignment horizontal="center" vertical="center"/>
    </xf>
    <xf numFmtId="0" fontId="2" fillId="4" borderId="2" xfId="0" applyFont="1" applyFill="1" applyBorder="1" applyAlignment="1" applyProtection="1">
      <alignment horizontal="center" vertical="center"/>
    </xf>
    <xf numFmtId="0" fontId="2" fillId="4" borderId="67" xfId="0" applyFont="1" applyFill="1" applyBorder="1" applyAlignment="1" applyProtection="1">
      <alignment horizontal="center" vertical="center"/>
    </xf>
    <xf numFmtId="0" fontId="1" fillId="6" borderId="6" xfId="0" applyFont="1" applyFill="1" applyBorder="1" applyAlignment="1" applyProtection="1">
      <alignment horizontal="center" vertical="center"/>
    </xf>
    <xf numFmtId="0" fontId="1" fillId="6" borderId="7" xfId="0" applyFont="1" applyFill="1" applyBorder="1" applyAlignment="1" applyProtection="1">
      <alignment horizontal="center" vertical="center"/>
    </xf>
    <xf numFmtId="0" fontId="1" fillId="6" borderId="22" xfId="0" applyFont="1" applyFill="1" applyBorder="1" applyAlignment="1" applyProtection="1">
      <alignment horizontal="center" vertical="center"/>
    </xf>
    <xf numFmtId="0" fontId="1" fillId="6" borderId="11" xfId="0" applyFont="1" applyFill="1" applyBorder="1" applyAlignment="1" applyProtection="1">
      <alignment horizontal="center" vertical="center"/>
    </xf>
    <xf numFmtId="0" fontId="1" fillId="6" borderId="4" xfId="0" applyFont="1" applyFill="1" applyBorder="1" applyAlignment="1" applyProtection="1">
      <alignment horizontal="center" vertical="center"/>
    </xf>
    <xf numFmtId="0" fontId="1" fillId="6" borderId="16" xfId="0" applyFont="1" applyFill="1" applyBorder="1" applyAlignment="1" applyProtection="1">
      <alignment horizontal="center" vertical="center"/>
    </xf>
    <xf numFmtId="0" fontId="1" fillId="6" borderId="23" xfId="0" applyFont="1" applyFill="1" applyBorder="1" applyAlignment="1" applyProtection="1">
      <alignment horizontal="center" vertical="center"/>
    </xf>
    <xf numFmtId="0" fontId="1" fillId="6" borderId="63" xfId="0" applyFont="1" applyFill="1" applyBorder="1" applyAlignment="1" applyProtection="1">
      <alignment horizontal="center" vertical="center"/>
    </xf>
    <xf numFmtId="0" fontId="1" fillId="6" borderId="24" xfId="0" applyFont="1" applyFill="1" applyBorder="1" applyAlignment="1" applyProtection="1">
      <alignment horizontal="center" vertical="center"/>
    </xf>
    <xf numFmtId="0" fontId="2" fillId="4" borderId="6" xfId="0" applyFont="1" applyFill="1" applyBorder="1" applyAlignment="1" applyProtection="1">
      <alignment horizontal="center" vertical="center"/>
    </xf>
    <xf numFmtId="0" fontId="2" fillId="4" borderId="11" xfId="0" applyFont="1" applyFill="1" applyBorder="1" applyAlignment="1" applyProtection="1">
      <alignment horizontal="center" vertical="center"/>
    </xf>
    <xf numFmtId="0" fontId="1" fillId="2" borderId="7" xfId="0" applyFont="1" applyFill="1" applyBorder="1" applyAlignment="1" applyProtection="1">
      <alignment horizontal="center" vertical="center" wrapText="1"/>
    </xf>
    <xf numFmtId="0" fontId="1" fillId="2" borderId="9" xfId="0" applyFont="1" applyFill="1" applyBorder="1" applyAlignment="1" applyProtection="1">
      <alignment horizontal="center" vertical="center" wrapText="1"/>
    </xf>
    <xf numFmtId="0" fontId="1" fillId="2" borderId="8" xfId="0" applyFont="1" applyFill="1" applyBorder="1" applyAlignment="1" applyProtection="1">
      <alignment horizontal="center" vertical="center" wrapText="1"/>
    </xf>
    <xf numFmtId="0" fontId="1" fillId="2" borderId="24" xfId="0" applyFont="1" applyFill="1" applyBorder="1" applyAlignment="1" applyProtection="1">
      <alignment horizontal="center" vertical="center" wrapText="1"/>
    </xf>
    <xf numFmtId="0" fontId="1" fillId="2" borderId="15" xfId="0" applyFont="1" applyFill="1" applyBorder="1" applyAlignment="1" applyProtection="1">
      <alignment horizontal="center" vertical="center" wrapText="1"/>
    </xf>
    <xf numFmtId="0" fontId="0" fillId="2" borderId="57" xfId="0" applyFill="1" applyBorder="1" applyAlignment="1" applyProtection="1">
      <alignment horizontal="center" vertical="center"/>
    </xf>
    <xf numFmtId="0" fontId="0" fillId="2" borderId="13" xfId="0" applyFill="1" applyBorder="1" applyAlignment="1" applyProtection="1">
      <alignment horizontal="center" vertical="center"/>
    </xf>
    <xf numFmtId="0" fontId="0" fillId="2" borderId="17" xfId="0" applyFill="1" applyBorder="1" applyAlignment="1" applyProtection="1">
      <alignment horizontal="center" vertical="center"/>
    </xf>
    <xf numFmtId="0" fontId="13" fillId="0" borderId="0" xfId="0" applyFont="1"/>
    <xf numFmtId="0" fontId="2" fillId="6" borderId="78" xfId="0" applyFont="1" applyFill="1" applyBorder="1" applyAlignment="1" applyProtection="1">
      <alignment horizontal="center" vertical="center"/>
    </xf>
    <xf numFmtId="0" fontId="6" fillId="4" borderId="75" xfId="0" applyFont="1" applyFill="1" applyBorder="1" applyAlignment="1" applyProtection="1">
      <alignment horizontal="center" vertical="center"/>
    </xf>
    <xf numFmtId="0" fontId="2" fillId="4" borderId="75" xfId="0" applyFont="1" applyFill="1" applyBorder="1" applyAlignment="1" applyProtection="1">
      <alignment horizontal="center" vertical="center"/>
    </xf>
    <xf numFmtId="0" fontId="2" fillId="4" borderId="79" xfId="0" applyFont="1" applyFill="1" applyBorder="1" applyAlignment="1" applyProtection="1">
      <alignment horizontal="center" vertical="center"/>
    </xf>
    <xf numFmtId="0" fontId="1" fillId="9" borderId="11" xfId="0" applyFont="1" applyFill="1" applyBorder="1" applyAlignment="1" applyProtection="1">
      <alignment horizontal="center" vertical="center"/>
    </xf>
    <xf numFmtId="14" fontId="1" fillId="9" borderId="56" xfId="0" applyNumberFormat="1" applyFont="1" applyFill="1" applyBorder="1" applyAlignment="1" applyProtection="1">
      <alignment horizontal="center" vertical="center"/>
    </xf>
    <xf numFmtId="0" fontId="1" fillId="6" borderId="80" xfId="0" applyFont="1" applyFill="1" applyBorder="1" applyAlignment="1" applyProtection="1">
      <alignment horizontal="center" vertical="center"/>
    </xf>
    <xf numFmtId="0" fontId="1" fillId="9" borderId="60" xfId="0" applyFont="1" applyFill="1" applyBorder="1" applyAlignment="1" applyProtection="1">
      <alignment horizontal="center" vertical="center"/>
    </xf>
    <xf numFmtId="0" fontId="1" fillId="3" borderId="74" xfId="0" applyFont="1" applyFill="1" applyBorder="1" applyAlignment="1" applyProtection="1">
      <alignment horizontal="left" vertical="center" wrapText="1"/>
      <protection locked="0"/>
    </xf>
    <xf numFmtId="0" fontId="1" fillId="3" borderId="61" xfId="0" applyFont="1" applyFill="1" applyBorder="1" applyAlignment="1" applyProtection="1">
      <alignment horizontal="left" vertical="center" wrapText="1"/>
      <protection locked="0"/>
    </xf>
    <xf numFmtId="0" fontId="1" fillId="3" borderId="77" xfId="0" applyFont="1" applyFill="1" applyBorder="1" applyAlignment="1" applyProtection="1">
      <alignment horizontal="left" vertical="center" wrapText="1"/>
      <protection locked="0"/>
    </xf>
    <xf numFmtId="0" fontId="2" fillId="7" borderId="6" xfId="0" applyFont="1" applyFill="1" applyBorder="1" applyAlignment="1" applyProtection="1">
      <alignment horizontal="center" vertical="center"/>
    </xf>
    <xf numFmtId="0" fontId="2" fillId="7" borderId="60" xfId="0" applyFont="1" applyFill="1" applyBorder="1" applyAlignment="1" applyProtection="1">
      <alignment horizontal="center" vertical="center"/>
    </xf>
    <xf numFmtId="0" fontId="2" fillId="6" borderId="10" xfId="0" applyFont="1" applyFill="1" applyBorder="1" applyAlignment="1" applyProtection="1">
      <alignment horizontal="center" vertical="center" wrapText="1"/>
    </xf>
    <xf numFmtId="0" fontId="2" fillId="6" borderId="5" xfId="0" applyFont="1" applyFill="1" applyBorder="1" applyAlignment="1" applyProtection="1">
      <alignment horizontal="center" vertical="center" wrapText="1"/>
    </xf>
    <xf numFmtId="0" fontId="2" fillId="6" borderId="1" xfId="0" applyFont="1" applyFill="1" applyBorder="1" applyAlignment="1" applyProtection="1">
      <alignment horizontal="center" vertical="center" wrapText="1"/>
    </xf>
    <xf numFmtId="0" fontId="2" fillId="9" borderId="3" xfId="0" applyFont="1" applyFill="1" applyBorder="1" applyAlignment="1" applyProtection="1">
      <alignment horizontal="center" vertical="center" wrapText="1"/>
    </xf>
    <xf numFmtId="0" fontId="2" fillId="9" borderId="65" xfId="0" applyFont="1" applyFill="1" applyBorder="1" applyAlignment="1" applyProtection="1">
      <alignment horizontal="center" vertical="center" wrapText="1"/>
    </xf>
    <xf numFmtId="0" fontId="16" fillId="11" borderId="2" xfId="0" applyFont="1" applyFill="1" applyBorder="1" applyAlignment="1" applyProtection="1">
      <alignment horizontal="center" vertical="center" wrapText="1"/>
    </xf>
    <xf numFmtId="0" fontId="16" fillId="11" borderId="21" xfId="0" applyFont="1" applyFill="1" applyBorder="1" applyAlignment="1" applyProtection="1">
      <alignment horizontal="center" vertical="center" wrapText="1"/>
    </xf>
    <xf numFmtId="0" fontId="2" fillId="7" borderId="8" xfId="0" applyFont="1" applyFill="1" applyBorder="1" applyAlignment="1" applyProtection="1">
      <alignment horizontal="center" vertical="center"/>
    </xf>
    <xf numFmtId="0" fontId="2" fillId="7" borderId="24" xfId="0" applyFont="1" applyFill="1" applyBorder="1" applyAlignment="1" applyProtection="1">
      <alignment horizontal="center" vertical="center"/>
    </xf>
    <xf numFmtId="0" fontId="2" fillId="7" borderId="16" xfId="0" applyFont="1" applyFill="1" applyBorder="1" applyAlignment="1" applyProtection="1">
      <alignment horizontal="center" vertical="center"/>
    </xf>
    <xf numFmtId="0" fontId="2" fillId="7" borderId="63" xfId="0" applyFont="1" applyFill="1" applyBorder="1" applyAlignment="1" applyProtection="1">
      <alignment horizontal="center" vertical="center"/>
    </xf>
    <xf numFmtId="0" fontId="2" fillId="9" borderId="16" xfId="0" applyFont="1" applyFill="1" applyBorder="1" applyAlignment="1" applyProtection="1">
      <alignment horizontal="center" vertical="center"/>
    </xf>
    <xf numFmtId="0" fontId="2" fillId="9" borderId="63" xfId="0" applyFont="1" applyFill="1" applyBorder="1" applyAlignment="1" applyProtection="1">
      <alignment horizontal="center" vertical="center"/>
    </xf>
    <xf numFmtId="0" fontId="2" fillId="7" borderId="69" xfId="0" applyFont="1" applyFill="1" applyBorder="1" applyAlignment="1" applyProtection="1">
      <alignment horizontal="center" vertical="center"/>
    </xf>
    <xf numFmtId="0" fontId="2" fillId="7" borderId="64" xfId="0" applyFont="1" applyFill="1" applyBorder="1" applyAlignment="1" applyProtection="1">
      <alignment horizontal="center" vertical="center"/>
    </xf>
    <xf numFmtId="0" fontId="1" fillId="6" borderId="2" xfId="0" applyFont="1" applyFill="1" applyBorder="1" applyAlignment="1" applyProtection="1">
      <alignment horizontal="center" vertical="center"/>
    </xf>
    <xf numFmtId="0" fontId="1" fillId="6" borderId="3" xfId="0" applyFont="1" applyFill="1" applyBorder="1" applyAlignment="1" applyProtection="1">
      <alignment horizontal="center" vertical="center"/>
    </xf>
    <xf numFmtId="0" fontId="17" fillId="3" borderId="3" xfId="0" applyFont="1" applyFill="1" applyBorder="1" applyAlignment="1" applyProtection="1">
      <alignment horizontal="center" vertical="center" wrapText="1"/>
      <protection locked="0"/>
    </xf>
    <xf numFmtId="0" fontId="17" fillId="3" borderId="65" xfId="0" applyFont="1" applyFill="1" applyBorder="1" applyAlignment="1" applyProtection="1">
      <alignment horizontal="center" vertical="center" wrapText="1"/>
      <protection locked="0"/>
    </xf>
    <xf numFmtId="0" fontId="1" fillId="6" borderId="67" xfId="0" applyFont="1" applyFill="1" applyBorder="1" applyAlignment="1" applyProtection="1">
      <alignment horizontal="center" vertical="center"/>
    </xf>
    <xf numFmtId="0" fontId="2" fillId="9" borderId="10" xfId="0" applyFont="1" applyFill="1" applyBorder="1" applyAlignment="1" applyProtection="1">
      <alignment horizontal="center" vertical="center"/>
    </xf>
    <xf numFmtId="0" fontId="2" fillId="9" borderId="1" xfId="0" applyFont="1" applyFill="1" applyBorder="1" applyAlignment="1" applyProtection="1">
      <alignment horizontal="center" vertical="center"/>
    </xf>
    <xf numFmtId="0" fontId="18" fillId="5" borderId="10" xfId="0" applyFont="1" applyFill="1" applyBorder="1" applyAlignment="1" applyProtection="1">
      <alignment horizontal="center" vertical="center" wrapText="1"/>
    </xf>
    <xf numFmtId="0" fontId="18" fillId="5" borderId="1" xfId="0" applyFont="1" applyFill="1" applyBorder="1" applyAlignment="1" applyProtection="1">
      <alignment horizontal="center" vertical="center" wrapText="1"/>
    </xf>
    <xf numFmtId="0" fontId="2" fillId="3" borderId="10" xfId="0" applyFont="1" applyFill="1" applyBorder="1" applyAlignment="1" applyProtection="1">
      <alignment horizontal="center" vertical="center" wrapText="1"/>
      <protection locked="0"/>
    </xf>
    <xf numFmtId="0" fontId="2" fillId="3" borderId="1" xfId="0" applyFont="1" applyFill="1" applyBorder="1" applyAlignment="1" applyProtection="1">
      <alignment horizontal="center" vertical="center" wrapText="1"/>
      <protection locked="0"/>
    </xf>
    <xf numFmtId="0" fontId="21" fillId="7" borderId="10" xfId="0" applyFont="1" applyFill="1" applyBorder="1" applyAlignment="1" applyProtection="1">
      <alignment horizontal="left" vertical="center"/>
    </xf>
    <xf numFmtId="0" fontId="21" fillId="7" borderId="5" xfId="0" applyFont="1" applyFill="1" applyBorder="1" applyAlignment="1" applyProtection="1">
      <alignment horizontal="left" vertical="center"/>
    </xf>
    <xf numFmtId="0" fontId="21" fillId="7" borderId="1" xfId="0" applyFont="1" applyFill="1" applyBorder="1" applyAlignment="1" applyProtection="1">
      <alignment horizontal="left" vertical="center"/>
    </xf>
    <xf numFmtId="0" fontId="1" fillId="3" borderId="58" xfId="0" applyFont="1" applyFill="1" applyBorder="1" applyAlignment="1" applyProtection="1">
      <alignment horizontal="center"/>
    </xf>
    <xf numFmtId="0" fontId="1" fillId="3" borderId="0" xfId="0" applyFont="1" applyFill="1" applyBorder="1" applyAlignment="1" applyProtection="1">
      <alignment horizontal="center"/>
    </xf>
    <xf numFmtId="0" fontId="1" fillId="3" borderId="41" xfId="0" applyFont="1" applyFill="1" applyBorder="1" applyAlignment="1" applyProtection="1">
      <alignment horizontal="center"/>
    </xf>
    <xf numFmtId="0" fontId="1" fillId="3" borderId="69" xfId="0" applyFont="1" applyFill="1" applyBorder="1" applyAlignment="1" applyProtection="1">
      <alignment horizontal="left" vertical="center"/>
      <protection locked="0"/>
    </xf>
    <xf numFmtId="0" fontId="1" fillId="3" borderId="23" xfId="0" applyFont="1" applyFill="1" applyBorder="1" applyAlignment="1" applyProtection="1">
      <alignment horizontal="left" vertical="center"/>
      <protection locked="0"/>
    </xf>
    <xf numFmtId="0" fontId="1" fillId="3" borderId="76" xfId="0" applyFont="1" applyFill="1" applyBorder="1" applyAlignment="1" applyProtection="1">
      <alignment horizontal="left" vertical="center"/>
      <protection locked="0"/>
    </xf>
    <xf numFmtId="0" fontId="2" fillId="2" borderId="24" xfId="0" applyFont="1" applyFill="1" applyBorder="1" applyAlignment="1" applyProtection="1">
      <alignment horizontal="center" vertical="center"/>
      <protection locked="0"/>
    </xf>
    <xf numFmtId="0" fontId="2" fillId="2" borderId="15" xfId="0" applyFont="1" applyFill="1" applyBorder="1" applyAlignment="1" applyProtection="1">
      <alignment horizontal="center" vertical="center"/>
      <protection locked="0"/>
    </xf>
    <xf numFmtId="0" fontId="2" fillId="7" borderId="57" xfId="0" applyFont="1" applyFill="1" applyBorder="1" applyAlignment="1" applyProtection="1">
      <alignment horizontal="center" vertical="center"/>
    </xf>
    <xf numFmtId="0" fontId="2" fillId="7" borderId="13" xfId="0" applyFont="1" applyFill="1" applyBorder="1" applyAlignment="1" applyProtection="1">
      <alignment horizontal="center" vertical="center"/>
    </xf>
    <xf numFmtId="0" fontId="2" fillId="7" borderId="17" xfId="0" applyFont="1" applyFill="1" applyBorder="1" applyAlignment="1" applyProtection="1">
      <alignment horizontal="center" vertical="center"/>
    </xf>
    <xf numFmtId="0" fontId="2" fillId="7" borderId="10" xfId="0" applyFont="1" applyFill="1" applyBorder="1" applyAlignment="1" applyProtection="1">
      <alignment horizontal="center" vertical="center"/>
    </xf>
    <xf numFmtId="0" fontId="2" fillId="7" borderId="5" xfId="0" applyFont="1" applyFill="1" applyBorder="1" applyAlignment="1" applyProtection="1">
      <alignment horizontal="center" vertical="center"/>
    </xf>
    <xf numFmtId="0" fontId="2" fillId="7" borderId="1" xfId="0" applyFont="1" applyFill="1" applyBorder="1" applyAlignment="1" applyProtection="1">
      <alignment horizontal="center" vertical="center"/>
    </xf>
    <xf numFmtId="0" fontId="2" fillId="3" borderId="0" xfId="0" applyFont="1" applyFill="1" applyBorder="1" applyAlignment="1" applyProtection="1">
      <alignment horizontal="left" vertical="center"/>
      <protection locked="0"/>
    </xf>
    <xf numFmtId="14" fontId="1" fillId="0" borderId="51" xfId="0" applyNumberFormat="1" applyFont="1" applyBorder="1" applyAlignment="1" applyProtection="1">
      <alignment horizontal="center" vertical="center"/>
      <protection locked="0"/>
    </xf>
    <xf numFmtId="14" fontId="0" fillId="0" borderId="51" xfId="0" applyNumberFormat="1" applyBorder="1" applyAlignment="1" applyProtection="1">
      <alignment horizontal="center" vertical="center"/>
      <protection locked="0"/>
    </xf>
    <xf numFmtId="0" fontId="1" fillId="3" borderId="21" xfId="0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20" fillId="11" borderId="2" xfId="0" applyFont="1" applyFill="1" applyBorder="1" applyAlignment="1" applyProtection="1">
      <alignment horizontal="center" vertical="center"/>
    </xf>
    <xf numFmtId="0" fontId="20" fillId="11" borderId="3" xfId="0" applyFont="1" applyFill="1" applyBorder="1" applyAlignment="1" applyProtection="1">
      <alignment horizontal="center" vertical="center"/>
    </xf>
    <xf numFmtId="0" fontId="20" fillId="11" borderId="65" xfId="0" applyFont="1" applyFill="1" applyBorder="1" applyAlignment="1" applyProtection="1">
      <alignment horizontal="center" vertical="center"/>
    </xf>
    <xf numFmtId="14" fontId="1" fillId="6" borderId="44" xfId="0" applyNumberFormat="1" applyFont="1" applyFill="1" applyBorder="1" applyAlignment="1" applyProtection="1">
      <alignment horizontal="center" vertical="center" wrapText="1"/>
    </xf>
    <xf numFmtId="14" fontId="1" fillId="6" borderId="24" xfId="0" applyNumberFormat="1" applyFont="1" applyFill="1" applyBorder="1" applyAlignment="1" applyProtection="1">
      <alignment horizontal="center" vertical="center" wrapText="1"/>
    </xf>
    <xf numFmtId="0" fontId="17" fillId="0" borderId="24" xfId="0" applyFont="1" applyFill="1" applyBorder="1" applyAlignment="1" applyProtection="1">
      <alignment horizontal="center" vertical="center" wrapText="1"/>
      <protection locked="0"/>
    </xf>
    <xf numFmtId="0" fontId="17" fillId="0" borderId="15" xfId="0" applyFont="1" applyFill="1" applyBorder="1" applyAlignment="1" applyProtection="1">
      <alignment horizontal="center" vertical="center" wrapText="1"/>
      <protection locked="0"/>
    </xf>
    <xf numFmtId="0" fontId="18" fillId="7" borderId="10" xfId="0" applyFont="1" applyFill="1" applyBorder="1" applyAlignment="1" applyProtection="1">
      <alignment horizontal="center" vertical="center"/>
    </xf>
    <xf numFmtId="0" fontId="18" fillId="7" borderId="5" xfId="0" applyFont="1" applyFill="1" applyBorder="1" applyAlignment="1" applyProtection="1">
      <alignment horizontal="center" vertical="center"/>
    </xf>
    <xf numFmtId="0" fontId="18" fillId="7" borderId="1" xfId="0" applyFont="1" applyFill="1" applyBorder="1" applyAlignment="1" applyProtection="1">
      <alignment horizontal="center" vertical="center"/>
    </xf>
    <xf numFmtId="0" fontId="7" fillId="6" borderId="19" xfId="0" applyFont="1" applyFill="1" applyBorder="1" applyAlignment="1" applyProtection="1">
      <alignment horizontal="center" vertical="center"/>
    </xf>
    <xf numFmtId="0" fontId="7" fillId="6" borderId="18" xfId="0" applyFont="1" applyFill="1" applyBorder="1" applyAlignment="1" applyProtection="1">
      <alignment horizontal="center" vertical="center"/>
    </xf>
    <xf numFmtId="0" fontId="2" fillId="3" borderId="11" xfId="0" applyFont="1" applyFill="1" applyBorder="1" applyAlignment="1" applyProtection="1">
      <alignment horizontal="center" vertical="center" wrapText="1"/>
      <protection locked="0"/>
    </xf>
    <xf numFmtId="0" fontId="2" fillId="3" borderId="60" xfId="0" applyFont="1" applyFill="1" applyBorder="1" applyAlignment="1" applyProtection="1">
      <alignment horizontal="center" vertical="center" wrapText="1"/>
      <protection locked="0"/>
    </xf>
    <xf numFmtId="0" fontId="2" fillId="3" borderId="70" xfId="0" applyNumberFormat="1" applyFont="1" applyFill="1" applyBorder="1" applyAlignment="1" applyProtection="1">
      <alignment horizontal="center" vertical="center" wrapText="1"/>
      <protection locked="0"/>
    </xf>
    <xf numFmtId="0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0" fontId="2" fillId="3" borderId="63" xfId="0" applyNumberFormat="1" applyFont="1" applyFill="1" applyBorder="1" applyAlignment="1" applyProtection="1">
      <alignment horizontal="center" vertical="center" wrapText="1"/>
      <protection locked="0"/>
    </xf>
    <xf numFmtId="0" fontId="2" fillId="3" borderId="43" xfId="0" applyNumberFormat="1" applyFont="1" applyFill="1" applyBorder="1" applyAlignment="1" applyProtection="1">
      <alignment horizontal="center" vertical="center" wrapText="1"/>
      <protection locked="0"/>
    </xf>
    <xf numFmtId="0" fontId="1" fillId="6" borderId="72" xfId="0" applyFont="1" applyFill="1" applyBorder="1" applyAlignment="1" applyProtection="1">
      <alignment horizontal="center" vertical="center"/>
    </xf>
    <xf numFmtId="0" fontId="1" fillId="6" borderId="75" xfId="0" applyFont="1" applyFill="1" applyBorder="1" applyAlignment="1" applyProtection="1">
      <alignment horizontal="center" vertical="center"/>
    </xf>
    <xf numFmtId="0" fontId="7" fillId="6" borderId="20" xfId="0" applyFont="1" applyFill="1" applyBorder="1" applyAlignment="1" applyProtection="1">
      <alignment horizontal="center" vertical="center"/>
    </xf>
    <xf numFmtId="0" fontId="7" fillId="6" borderId="44" xfId="0" applyFont="1" applyFill="1" applyBorder="1" applyAlignment="1" applyProtection="1">
      <alignment horizontal="center" vertical="center"/>
    </xf>
    <xf numFmtId="0" fontId="12" fillId="3" borderId="59" xfId="0" applyFont="1" applyFill="1" applyBorder="1" applyAlignment="1" applyProtection="1">
      <alignment horizontal="center" vertical="center" wrapText="1"/>
      <protection locked="0"/>
    </xf>
    <xf numFmtId="0" fontId="12" fillId="3" borderId="46" xfId="0" applyFont="1" applyFill="1" applyBorder="1" applyAlignment="1" applyProtection="1">
      <alignment horizontal="center" vertical="center" wrapText="1"/>
      <protection locked="0"/>
    </xf>
    <xf numFmtId="0" fontId="7" fillId="6" borderId="8" xfId="0" applyFont="1" applyFill="1" applyBorder="1" applyAlignment="1" applyProtection="1">
      <alignment horizontal="center" vertical="center" wrapText="1"/>
    </xf>
    <xf numFmtId="0" fontId="7" fillId="6" borderId="24" xfId="0" applyFont="1" applyFill="1" applyBorder="1" applyAlignment="1" applyProtection="1">
      <alignment horizontal="center" vertical="center" wrapText="1"/>
    </xf>
    <xf numFmtId="0" fontId="2" fillId="3" borderId="12" xfId="0" applyFont="1" applyFill="1" applyBorder="1" applyAlignment="1" applyProtection="1">
      <alignment horizontal="center" vertical="center" wrapText="1"/>
      <protection locked="0"/>
    </xf>
    <xf numFmtId="0" fontId="2" fillId="3" borderId="24" xfId="0" applyFont="1" applyFill="1" applyBorder="1" applyAlignment="1" applyProtection="1">
      <alignment horizontal="center" vertical="center"/>
      <protection locked="0"/>
    </xf>
    <xf numFmtId="0" fontId="2" fillId="3" borderId="45" xfId="0" applyFont="1" applyFill="1" applyBorder="1" applyAlignment="1" applyProtection="1">
      <alignment horizontal="center" vertical="center"/>
      <protection locked="0"/>
    </xf>
    <xf numFmtId="0" fontId="7" fillId="6" borderId="8" xfId="0" applyFont="1" applyFill="1" applyBorder="1" applyAlignment="1" applyProtection="1">
      <alignment horizontal="center" vertical="top" wrapText="1"/>
    </xf>
    <xf numFmtId="0" fontId="7" fillId="6" borderId="24" xfId="0" applyFont="1" applyFill="1" applyBorder="1" applyAlignment="1" applyProtection="1">
      <alignment horizontal="center" vertical="top" wrapText="1"/>
    </xf>
    <xf numFmtId="0" fontId="7" fillId="6" borderId="6" xfId="0" applyFont="1" applyFill="1" applyBorder="1" applyAlignment="1" applyProtection="1">
      <alignment horizontal="center" vertical="center" wrapText="1"/>
    </xf>
    <xf numFmtId="0" fontId="7" fillId="6" borderId="11" xfId="0" applyFont="1" applyFill="1" applyBorder="1" applyAlignment="1" applyProtection="1">
      <alignment horizontal="center" vertical="center" wrapText="1"/>
    </xf>
    <xf numFmtId="0" fontId="12" fillId="3" borderId="53" xfId="0" applyFont="1" applyFill="1" applyBorder="1" applyAlignment="1" applyProtection="1">
      <alignment horizontal="center" vertical="center" wrapText="1"/>
      <protection locked="0"/>
    </xf>
    <xf numFmtId="0" fontId="2" fillId="3" borderId="15" xfId="0" applyFont="1" applyFill="1" applyBorder="1" applyAlignment="1" applyProtection="1">
      <alignment horizontal="center" vertical="center"/>
      <protection locked="0"/>
    </xf>
    <xf numFmtId="0" fontId="2" fillId="3" borderId="58" xfId="0" applyFont="1" applyFill="1" applyBorder="1" applyAlignment="1" applyProtection="1">
      <alignment horizontal="center" vertical="center" wrapText="1"/>
    </xf>
    <xf numFmtId="0" fontId="2" fillId="3" borderId="0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</xf>
    <xf numFmtId="0" fontId="2" fillId="3" borderId="54" xfId="0" applyFont="1" applyFill="1" applyBorder="1" applyAlignment="1" applyProtection="1">
      <alignment horizontal="center" vertical="center" wrapText="1"/>
    </xf>
    <xf numFmtId="0" fontId="2" fillId="3" borderId="55" xfId="0" applyFont="1" applyFill="1" applyBorder="1" applyAlignment="1" applyProtection="1">
      <alignment horizontal="center" vertical="center" wrapText="1"/>
    </xf>
    <xf numFmtId="0" fontId="2" fillId="3" borderId="43" xfId="0" applyFont="1" applyFill="1" applyBorder="1" applyAlignment="1" applyProtection="1">
      <alignment horizontal="center" vertical="center" wrapText="1"/>
    </xf>
    <xf numFmtId="0" fontId="1" fillId="6" borderId="6" xfId="0" applyFont="1" applyFill="1" applyBorder="1" applyAlignment="1" applyProtection="1">
      <alignment horizontal="center" vertical="center" wrapText="1"/>
      <protection locked="0"/>
    </xf>
    <xf numFmtId="0" fontId="1" fillId="6" borderId="11" xfId="0" applyFont="1" applyFill="1" applyBorder="1" applyAlignment="1" applyProtection="1">
      <alignment horizontal="center" vertical="center" wrapText="1"/>
      <protection locked="0"/>
    </xf>
    <xf numFmtId="0" fontId="1" fillId="3" borderId="11" xfId="0" applyFont="1" applyFill="1" applyBorder="1" applyAlignment="1" applyProtection="1">
      <alignment horizontal="center" vertical="center" wrapText="1"/>
      <protection locked="0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12" xfId="0" applyFont="1" applyBorder="1" applyAlignment="1" applyProtection="1">
      <alignment horizontal="center" vertical="center"/>
      <protection locked="0"/>
    </xf>
    <xf numFmtId="0" fontId="18" fillId="7" borderId="57" xfId="0" applyFont="1" applyFill="1" applyBorder="1" applyAlignment="1" applyProtection="1">
      <alignment horizontal="center" vertical="center"/>
      <protection locked="0"/>
    </xf>
    <xf numFmtId="0" fontId="18" fillId="7" borderId="13" xfId="0" applyFont="1" applyFill="1" applyBorder="1" applyAlignment="1" applyProtection="1">
      <alignment horizontal="center" vertical="center"/>
      <protection locked="0"/>
    </xf>
    <xf numFmtId="0" fontId="18" fillId="7" borderId="17" xfId="0" applyFont="1" applyFill="1" applyBorder="1" applyAlignment="1" applyProtection="1">
      <alignment horizontal="center" vertical="center"/>
      <protection locked="0"/>
    </xf>
    <xf numFmtId="0" fontId="0" fillId="3" borderId="58" xfId="0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0" fontId="0" fillId="3" borderId="41" xfId="0" applyFill="1" applyBorder="1" applyAlignment="1" applyProtection="1">
      <alignment horizontal="center"/>
    </xf>
    <xf numFmtId="0" fontId="18" fillId="7" borderId="57" xfId="0" applyFont="1" applyFill="1" applyBorder="1" applyAlignment="1" applyProtection="1">
      <alignment horizontal="center" vertical="center"/>
    </xf>
    <xf numFmtId="0" fontId="18" fillId="7" borderId="13" xfId="0" applyFont="1" applyFill="1" applyBorder="1" applyAlignment="1" applyProtection="1">
      <alignment horizontal="center" vertical="center"/>
    </xf>
    <xf numFmtId="0" fontId="18" fillId="7" borderId="17" xfId="0" applyFont="1" applyFill="1" applyBorder="1" applyAlignment="1" applyProtection="1">
      <alignment horizontal="center" vertical="center"/>
    </xf>
    <xf numFmtId="0" fontId="12" fillId="3" borderId="51" xfId="0" applyFont="1" applyFill="1" applyBorder="1" applyAlignment="1" applyProtection="1">
      <alignment horizontal="center" vertical="center" wrapText="1"/>
      <protection locked="0"/>
    </xf>
    <xf numFmtId="0" fontId="2" fillId="3" borderId="59" xfId="0" applyFont="1" applyFill="1" applyBorder="1" applyAlignment="1" applyProtection="1">
      <alignment horizontal="center" vertical="center"/>
      <protection locked="0"/>
    </xf>
    <xf numFmtId="0" fontId="2" fillId="3" borderId="46" xfId="0" applyFont="1" applyFill="1" applyBorder="1" applyAlignment="1" applyProtection="1">
      <alignment horizontal="center" vertical="center"/>
      <protection locked="0"/>
    </xf>
    <xf numFmtId="0" fontId="20" fillId="11" borderId="2" xfId="0" applyFont="1" applyFill="1" applyBorder="1" applyAlignment="1" applyProtection="1">
      <alignment horizontal="center" vertical="center" wrapText="1"/>
      <protection locked="0"/>
    </xf>
    <xf numFmtId="0" fontId="20" fillId="11" borderId="3" xfId="0" applyFont="1" applyFill="1" applyBorder="1" applyAlignment="1" applyProtection="1">
      <alignment horizontal="center" vertical="center" wrapText="1"/>
      <protection locked="0"/>
    </xf>
    <xf numFmtId="0" fontId="20" fillId="11" borderId="65" xfId="0" applyFont="1" applyFill="1" applyBorder="1" applyAlignment="1" applyProtection="1">
      <alignment horizontal="center" vertical="center" wrapText="1"/>
      <protection locked="0"/>
    </xf>
    <xf numFmtId="14" fontId="1" fillId="6" borderId="44" xfId="0" applyNumberFormat="1" applyFont="1" applyFill="1" applyBorder="1" applyAlignment="1" applyProtection="1">
      <alignment horizontal="center" vertical="center" wrapText="1"/>
      <protection locked="0"/>
    </xf>
    <xf numFmtId="14" fontId="1" fillId="6" borderId="24" xfId="0" applyNumberFormat="1" applyFont="1" applyFill="1" applyBorder="1" applyAlignment="1" applyProtection="1">
      <alignment horizontal="center" vertical="center" wrapText="1"/>
      <protection locked="0"/>
    </xf>
    <xf numFmtId="0" fontId="17" fillId="3" borderId="24" xfId="0" applyFont="1" applyFill="1" applyBorder="1" applyAlignment="1" applyProtection="1">
      <alignment horizontal="center" vertical="center" wrapText="1"/>
      <protection locked="0"/>
    </xf>
    <xf numFmtId="0" fontId="17" fillId="3" borderId="15" xfId="0" applyFont="1" applyFill="1" applyBorder="1" applyAlignment="1" applyProtection="1">
      <alignment horizontal="center" vertical="center" wrapText="1"/>
      <protection locked="0"/>
    </xf>
    <xf numFmtId="0" fontId="1" fillId="4" borderId="60" xfId="0" applyFont="1" applyFill="1" applyBorder="1" applyAlignment="1" applyProtection="1">
      <alignment horizontal="center" vertical="center"/>
    </xf>
    <xf numFmtId="0" fontId="1" fillId="4" borderId="50" xfId="0" applyFont="1" applyFill="1" applyBorder="1" applyAlignment="1" applyProtection="1">
      <alignment horizontal="center" vertical="center"/>
    </xf>
    <xf numFmtId="0" fontId="18" fillId="7" borderId="2" xfId="0" applyFont="1" applyFill="1" applyBorder="1" applyAlignment="1" applyProtection="1">
      <alignment horizontal="center" vertical="center"/>
    </xf>
    <xf numFmtId="0" fontId="18" fillId="7" borderId="3" xfId="0" applyFont="1" applyFill="1" applyBorder="1" applyAlignment="1" applyProtection="1">
      <alignment horizontal="center" vertical="center"/>
    </xf>
    <xf numFmtId="0" fontId="18" fillId="7" borderId="65" xfId="0" applyFont="1" applyFill="1" applyBorder="1" applyAlignment="1" applyProtection="1">
      <alignment horizontal="center" vertical="center"/>
    </xf>
    <xf numFmtId="0" fontId="1" fillId="6" borderId="56" xfId="0" applyFont="1" applyFill="1" applyBorder="1" applyAlignment="1" applyProtection="1">
      <alignment horizontal="center" vertical="center"/>
    </xf>
    <xf numFmtId="0" fontId="1" fillId="6" borderId="11" xfId="0" applyFont="1" applyFill="1" applyBorder="1" applyAlignment="1" applyProtection="1">
      <alignment horizontal="center" vertical="center"/>
    </xf>
    <xf numFmtId="0" fontId="1" fillId="9" borderId="11" xfId="0" applyFont="1" applyFill="1" applyBorder="1" applyAlignment="1" applyProtection="1">
      <alignment horizontal="center" vertical="center" wrapText="1"/>
    </xf>
    <xf numFmtId="0" fontId="1" fillId="9" borderId="12" xfId="0" applyFont="1" applyFill="1" applyBorder="1" applyAlignment="1" applyProtection="1">
      <alignment horizontal="center" vertical="center" wrapText="1"/>
    </xf>
    <xf numFmtId="0" fontId="2" fillId="3" borderId="53" xfId="0" applyFont="1" applyFill="1" applyBorder="1" applyAlignment="1" applyProtection="1">
      <alignment horizontal="center" vertical="center" wrapText="1"/>
      <protection locked="0"/>
    </xf>
    <xf numFmtId="0" fontId="2" fillId="3" borderId="47" xfId="0" applyFont="1" applyFill="1" applyBorder="1" applyAlignment="1" applyProtection="1">
      <alignment horizontal="center" vertical="center" wrapText="1"/>
      <protection locked="0"/>
    </xf>
    <xf numFmtId="0" fontId="7" fillId="6" borderId="6" xfId="0" applyFont="1" applyFill="1" applyBorder="1" applyAlignment="1" applyProtection="1">
      <alignment horizontal="center" vertical="center"/>
    </xf>
    <xf numFmtId="0" fontId="7" fillId="6" borderId="11" xfId="0" applyFont="1" applyFill="1" applyBorder="1" applyAlignment="1" applyProtection="1">
      <alignment horizontal="center" vertical="center"/>
    </xf>
    <xf numFmtId="0" fontId="1" fillId="6" borderId="19" xfId="0" applyFont="1" applyFill="1" applyBorder="1" applyAlignment="1" applyProtection="1">
      <alignment horizontal="center" vertical="center"/>
    </xf>
    <xf numFmtId="0" fontId="1" fillId="6" borderId="18" xfId="0" applyFont="1" applyFill="1" applyBorder="1" applyAlignment="1" applyProtection="1">
      <alignment horizontal="center" vertical="center"/>
    </xf>
    <xf numFmtId="0" fontId="1" fillId="6" borderId="48" xfId="0" applyFont="1" applyFill="1" applyBorder="1" applyAlignment="1" applyProtection="1">
      <alignment horizontal="center" vertical="center"/>
    </xf>
    <xf numFmtId="0" fontId="1" fillId="3" borderId="51" xfId="0" applyFont="1" applyFill="1" applyBorder="1" applyAlignment="1" applyProtection="1">
      <alignment horizontal="center" vertical="center"/>
      <protection locked="0"/>
    </xf>
    <xf numFmtId="0" fontId="12" fillId="3" borderId="47" xfId="0" applyFont="1" applyFill="1" applyBorder="1" applyAlignment="1" applyProtection="1">
      <alignment horizontal="center" vertical="center" wrapText="1"/>
      <protection locked="0"/>
    </xf>
    <xf numFmtId="0" fontId="12" fillId="3" borderId="52" xfId="0" applyFont="1" applyFill="1" applyBorder="1" applyAlignment="1" applyProtection="1">
      <alignment horizontal="center" vertical="center" wrapText="1"/>
      <protection locked="0"/>
    </xf>
    <xf numFmtId="0" fontId="1" fillId="6" borderId="7" xfId="0" applyFont="1" applyFill="1" applyBorder="1" applyAlignment="1" applyProtection="1">
      <alignment horizontal="center" vertical="center"/>
    </xf>
    <xf numFmtId="0" fontId="1" fillId="6" borderId="4" xfId="0" applyFont="1" applyFill="1" applyBorder="1" applyAlignment="1" applyProtection="1">
      <alignment horizontal="center" vertical="center"/>
    </xf>
    <xf numFmtId="0" fontId="1" fillId="6" borderId="8" xfId="0" applyFont="1" applyFill="1" applyBorder="1" applyAlignment="1" applyProtection="1">
      <alignment horizontal="center" vertical="center"/>
    </xf>
    <xf numFmtId="0" fontId="1" fillId="6" borderId="24" xfId="0" applyFont="1" applyFill="1" applyBorder="1" applyAlignment="1" applyProtection="1">
      <alignment horizontal="center" vertical="center"/>
    </xf>
    <xf numFmtId="0" fontId="17" fillId="11" borderId="10" xfId="0" applyFont="1" applyFill="1" applyBorder="1" applyAlignment="1" applyProtection="1">
      <alignment horizontal="center" vertical="center"/>
    </xf>
    <xf numFmtId="0" fontId="17" fillId="11" borderId="5" xfId="0" applyFont="1" applyFill="1" applyBorder="1" applyAlignment="1" applyProtection="1">
      <alignment horizontal="center" vertical="center"/>
    </xf>
    <xf numFmtId="0" fontId="4" fillId="3" borderId="58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 applyProtection="1">
      <alignment horizontal="center" vertical="center"/>
    </xf>
    <xf numFmtId="0" fontId="4" fillId="3" borderId="41" xfId="0" applyFont="1" applyFill="1" applyBorder="1" applyAlignment="1" applyProtection="1">
      <alignment horizontal="center" vertical="center"/>
    </xf>
    <xf numFmtId="0" fontId="2" fillId="3" borderId="10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0" fontId="2" fillId="7" borderId="2" xfId="0" applyFont="1" applyFill="1" applyBorder="1" applyAlignment="1" applyProtection="1">
      <alignment horizontal="center" vertical="center"/>
    </xf>
    <xf numFmtId="0" fontId="2" fillId="7" borderId="65" xfId="0" applyFont="1" applyFill="1" applyBorder="1" applyAlignment="1" applyProtection="1">
      <alignment horizontal="center" vertical="center"/>
    </xf>
    <xf numFmtId="0" fontId="1" fillId="6" borderId="6" xfId="0" applyFont="1" applyFill="1" applyBorder="1" applyAlignment="1" applyProtection="1">
      <alignment horizontal="center" vertical="center" wrapText="1"/>
    </xf>
    <xf numFmtId="0" fontId="1" fillId="6" borderId="8" xfId="0" applyFont="1" applyFill="1" applyBorder="1" applyAlignment="1" applyProtection="1">
      <alignment horizontal="center" vertical="center" wrapText="1"/>
    </xf>
    <xf numFmtId="0" fontId="2" fillId="3" borderId="14" xfId="0" applyFont="1" applyFill="1" applyBorder="1" applyAlignment="1" applyProtection="1">
      <alignment horizontal="center" vertical="center"/>
      <protection locked="0"/>
    </xf>
    <xf numFmtId="0" fontId="2" fillId="3" borderId="42" xfId="0" applyFont="1" applyFill="1" applyBorder="1" applyAlignment="1" applyProtection="1">
      <alignment horizontal="center" vertical="center"/>
      <protection locked="0"/>
    </xf>
    <xf numFmtId="0" fontId="2" fillId="5" borderId="10" xfId="0" applyFont="1" applyFill="1" applyBorder="1" applyAlignment="1" applyProtection="1">
      <alignment horizontal="center" vertical="center"/>
    </xf>
    <xf numFmtId="0" fontId="2" fillId="5" borderId="5" xfId="0" applyFont="1" applyFill="1" applyBorder="1" applyAlignment="1" applyProtection="1">
      <alignment horizontal="center" vertical="center"/>
    </xf>
    <xf numFmtId="0" fontId="2" fillId="5" borderId="1" xfId="0" applyFont="1" applyFill="1" applyBorder="1" applyAlignment="1" applyProtection="1">
      <alignment horizontal="center" vertical="center"/>
    </xf>
    <xf numFmtId="0" fontId="1" fillId="6" borderId="48" xfId="0" applyFont="1" applyFill="1" applyBorder="1" applyAlignment="1" applyProtection="1">
      <alignment horizontal="center" vertical="center" wrapText="1"/>
    </xf>
    <xf numFmtId="0" fontId="1" fillId="6" borderId="56" xfId="0" applyFont="1" applyFill="1" applyBorder="1" applyAlignment="1" applyProtection="1">
      <alignment horizontal="center" vertical="center" wrapText="1"/>
    </xf>
    <xf numFmtId="0" fontId="1" fillId="3" borderId="2" xfId="0" applyFont="1" applyFill="1" applyBorder="1" applyAlignment="1" applyProtection="1">
      <alignment horizontal="center" vertical="center"/>
    </xf>
    <xf numFmtId="0" fontId="1" fillId="3" borderId="3" xfId="0" applyFont="1" applyFill="1" applyBorder="1" applyAlignment="1" applyProtection="1">
      <alignment horizontal="center" vertical="center"/>
    </xf>
    <xf numFmtId="0" fontId="1" fillId="3" borderId="54" xfId="0" applyFont="1" applyFill="1" applyBorder="1" applyAlignment="1" applyProtection="1">
      <alignment horizontal="left" vertical="center"/>
      <protection locked="0"/>
    </xf>
    <xf numFmtId="0" fontId="1" fillId="3" borderId="55" xfId="0" applyFont="1" applyFill="1" applyBorder="1" applyAlignment="1" applyProtection="1">
      <alignment horizontal="left" vertical="center"/>
      <protection locked="0"/>
    </xf>
    <xf numFmtId="0" fontId="1" fillId="3" borderId="43" xfId="0" applyFont="1" applyFill="1" applyBorder="1" applyAlignment="1" applyProtection="1">
      <alignment horizontal="left" vertical="center"/>
      <protection locked="0"/>
    </xf>
    <xf numFmtId="9" fontId="2" fillId="3" borderId="60" xfId="1" applyFont="1" applyFill="1" applyBorder="1" applyAlignment="1" applyProtection="1">
      <alignment horizontal="center" vertical="center"/>
      <protection locked="0"/>
    </xf>
    <xf numFmtId="9" fontId="2" fillId="3" borderId="50" xfId="1" applyFont="1" applyFill="1" applyBorder="1" applyAlignment="1" applyProtection="1">
      <alignment horizontal="center" vertical="center"/>
      <protection locked="0"/>
    </xf>
    <xf numFmtId="0" fontId="1" fillId="6" borderId="6" xfId="0" applyFont="1" applyFill="1" applyBorder="1" applyAlignment="1" applyProtection="1">
      <alignment horizontal="center" vertical="center"/>
    </xf>
    <xf numFmtId="0" fontId="1" fillId="6" borderId="20" xfId="0" applyFont="1" applyFill="1" applyBorder="1" applyAlignment="1" applyProtection="1">
      <alignment horizontal="center" vertical="center"/>
    </xf>
    <xf numFmtId="0" fontId="1" fillId="6" borderId="44" xfId="0" applyFont="1" applyFill="1" applyBorder="1" applyAlignment="1" applyProtection="1">
      <alignment horizontal="center" vertical="center"/>
    </xf>
    <xf numFmtId="0" fontId="2" fillId="3" borderId="49" xfId="0" applyFont="1" applyFill="1" applyBorder="1" applyAlignment="1" applyProtection="1">
      <alignment horizontal="center" vertical="center" wrapText="1"/>
      <protection locked="0"/>
    </xf>
    <xf numFmtId="0" fontId="2" fillId="3" borderId="50" xfId="0" applyFont="1" applyFill="1" applyBorder="1" applyAlignment="1" applyProtection="1">
      <alignment horizontal="center" vertical="center" wrapText="1"/>
      <protection locked="0"/>
    </xf>
    <xf numFmtId="0" fontId="1" fillId="6" borderId="20" xfId="0" applyFont="1" applyFill="1" applyBorder="1" applyAlignment="1" applyProtection="1">
      <alignment horizontal="center" vertical="center" wrapText="1"/>
    </xf>
    <xf numFmtId="0" fontId="1" fillId="6" borderId="44" xfId="0" applyFont="1" applyFill="1" applyBorder="1" applyAlignment="1" applyProtection="1">
      <alignment horizontal="center" vertical="center" wrapText="1"/>
    </xf>
    <xf numFmtId="0" fontId="2" fillId="3" borderId="53" xfId="0" applyFont="1" applyFill="1" applyBorder="1" applyAlignment="1" applyProtection="1">
      <alignment horizontal="center" vertical="center"/>
      <protection locked="0"/>
    </xf>
    <xf numFmtId="0" fontId="1" fillId="3" borderId="58" xfId="0" applyFont="1" applyFill="1" applyBorder="1" applyAlignment="1" applyProtection="1">
      <alignment horizontal="center" vertical="center"/>
    </xf>
    <xf numFmtId="0" fontId="1" fillId="3" borderId="0" xfId="0" applyFont="1" applyFill="1" applyBorder="1" applyAlignment="1" applyProtection="1">
      <alignment horizontal="center" vertical="center"/>
    </xf>
    <xf numFmtId="0" fontId="1" fillId="3" borderId="41" xfId="0" applyFont="1" applyFill="1" applyBorder="1" applyAlignment="1" applyProtection="1">
      <alignment horizontal="center" vertical="center"/>
    </xf>
    <xf numFmtId="0" fontId="2" fillId="4" borderId="11" xfId="0" applyFont="1" applyFill="1" applyBorder="1" applyAlignment="1" applyProtection="1">
      <alignment horizontal="center" vertical="center"/>
    </xf>
    <xf numFmtId="0" fontId="2" fillId="4" borderId="12" xfId="0" applyFont="1" applyFill="1" applyBorder="1" applyAlignment="1" applyProtection="1">
      <alignment horizontal="center" vertical="center"/>
    </xf>
    <xf numFmtId="0" fontId="0" fillId="3" borderId="57" xfId="0" applyFill="1" applyBorder="1" applyAlignment="1" applyProtection="1">
      <alignment horizontal="center"/>
    </xf>
    <xf numFmtId="0" fontId="0" fillId="3" borderId="13" xfId="0" applyFill="1" applyBorder="1" applyAlignment="1" applyProtection="1">
      <alignment horizontal="center"/>
    </xf>
    <xf numFmtId="0" fontId="0" fillId="3" borderId="17" xfId="0" applyFill="1" applyBorder="1" applyAlignment="1" applyProtection="1">
      <alignment horizontal="center"/>
    </xf>
    <xf numFmtId="0" fontId="17" fillId="3" borderId="75" xfId="0" applyFont="1" applyFill="1" applyBorder="1" applyAlignment="1" applyProtection="1">
      <alignment horizontal="center" vertical="center" wrapText="1"/>
      <protection locked="0"/>
    </xf>
    <xf numFmtId="0" fontId="17" fillId="3" borderId="14" xfId="0" applyFont="1" applyFill="1" applyBorder="1" applyAlignment="1" applyProtection="1">
      <alignment horizontal="center" vertical="center" wrapText="1"/>
      <protection locked="0"/>
    </xf>
    <xf numFmtId="0" fontId="2" fillId="3" borderId="5" xfId="0" applyFont="1" applyFill="1" applyBorder="1" applyAlignment="1" applyProtection="1">
      <alignment horizontal="center" vertical="center" wrapText="1"/>
      <protection locked="0"/>
    </xf>
    <xf numFmtId="0" fontId="1" fillId="6" borderId="11" xfId="0" applyFont="1" applyFill="1" applyBorder="1" applyAlignment="1" applyProtection="1">
      <alignment horizontal="center" vertical="center" wrapText="1"/>
    </xf>
    <xf numFmtId="0" fontId="2" fillId="3" borderId="11" xfId="0" applyFont="1" applyFill="1" applyBorder="1" applyAlignment="1" applyProtection="1">
      <alignment horizontal="center" vertical="center"/>
      <protection locked="0"/>
    </xf>
    <xf numFmtId="0" fontId="2" fillId="3" borderId="60" xfId="0" applyFont="1" applyFill="1" applyBorder="1" applyAlignment="1" applyProtection="1">
      <alignment horizontal="center" vertical="center"/>
      <protection locked="0"/>
    </xf>
    <xf numFmtId="14" fontId="1" fillId="3" borderId="61" xfId="0" applyNumberFormat="1" applyFont="1" applyFill="1" applyBorder="1" applyAlignment="1" applyProtection="1">
      <alignment horizontal="center" vertical="center" wrapText="1"/>
      <protection locked="0"/>
    </xf>
    <xf numFmtId="0" fontId="1" fillId="3" borderId="61" xfId="0" applyFont="1" applyFill="1" applyBorder="1" applyAlignment="1" applyProtection="1">
      <alignment horizontal="center" vertical="center" wrapText="1"/>
      <protection locked="0"/>
    </xf>
    <xf numFmtId="0" fontId="1" fillId="6" borderId="4" xfId="0" applyFont="1" applyFill="1" applyBorder="1" applyAlignment="1" applyProtection="1">
      <alignment horizontal="center" vertical="center" wrapText="1"/>
      <protection locked="0"/>
    </xf>
    <xf numFmtId="0" fontId="2" fillId="3" borderId="4" xfId="0" applyFont="1" applyFill="1" applyBorder="1" applyAlignment="1" applyProtection="1">
      <alignment horizontal="center" vertical="center" wrapText="1"/>
      <protection locked="0"/>
    </xf>
    <xf numFmtId="0" fontId="2" fillId="3" borderId="9" xfId="0" applyFont="1" applyFill="1" applyBorder="1" applyAlignment="1" applyProtection="1">
      <alignment horizontal="center" vertical="center" wrapText="1"/>
      <protection locked="0"/>
    </xf>
    <xf numFmtId="0" fontId="1" fillId="6" borderId="74" xfId="0" applyFont="1" applyFill="1" applyBorder="1" applyAlignment="1" applyProtection="1">
      <alignment horizontal="center" vertical="center" wrapText="1"/>
      <protection locked="0"/>
    </xf>
    <xf numFmtId="0" fontId="1" fillId="6" borderId="61" xfId="0" applyFont="1" applyFill="1" applyBorder="1" applyAlignment="1" applyProtection="1">
      <alignment horizontal="center" vertical="center" wrapText="1"/>
      <protection locked="0"/>
    </xf>
    <xf numFmtId="0" fontId="2" fillId="2" borderId="48" xfId="0" applyFont="1" applyFill="1" applyBorder="1" applyAlignment="1" applyProtection="1">
      <alignment horizontal="center" vertical="center" wrapText="1"/>
    </xf>
    <xf numFmtId="0" fontId="2" fillId="2" borderId="49" xfId="0" applyFont="1" applyFill="1" applyBorder="1" applyAlignment="1" applyProtection="1">
      <alignment horizontal="center" vertical="center" wrapText="1"/>
    </xf>
    <xf numFmtId="0" fontId="2" fillId="2" borderId="50" xfId="0" applyFont="1" applyFill="1" applyBorder="1" applyAlignment="1" applyProtection="1">
      <alignment horizontal="center" vertical="center" wrapText="1"/>
    </xf>
    <xf numFmtId="0" fontId="1" fillId="3" borderId="4" xfId="0" applyFont="1" applyFill="1" applyBorder="1" applyAlignment="1" applyProtection="1">
      <alignment horizontal="center" vertical="center" wrapText="1"/>
    </xf>
    <xf numFmtId="0" fontId="3" fillId="2" borderId="24" xfId="0" applyFont="1" applyFill="1" applyBorder="1" applyAlignment="1" applyProtection="1">
      <alignment horizontal="center" vertical="center" wrapText="1"/>
    </xf>
  </cellXfs>
  <cellStyles count="2">
    <cellStyle name="Normal" xfId="0" builtinId="0"/>
    <cellStyle name="Percent" xfId="1" builtinId="5"/>
  </cellStyles>
  <dxfs count="62"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</font>
      <fill>
        <patternFill>
          <bgColor rgb="FF92D050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 patternType="solid"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ont>
        <b val="0"/>
        <i val="0"/>
      </font>
      <fill>
        <patternFill>
          <bgColor theme="3" tint="0.79998168889431442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ont>
        <b val="0"/>
        <i val="0"/>
      </font>
      <fill>
        <patternFill>
          <bgColor theme="3" tint="0.79998168889431442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ont>
        <b val="0"/>
        <i val="0"/>
      </font>
      <fill>
        <patternFill>
          <bgColor theme="3" tint="0.79998168889431442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3" tint="0.79998168889431442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3" tint="0.79998168889431442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cid:image001.gif@01C713CC.ADB1DF40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59</xdr:row>
      <xdr:rowOff>57150</xdr:rowOff>
    </xdr:from>
    <xdr:to>
      <xdr:col>1</xdr:col>
      <xdr:colOff>952500</xdr:colOff>
      <xdr:row>63</xdr:row>
      <xdr:rowOff>114300</xdr:rowOff>
    </xdr:to>
    <xdr:pic>
      <xdr:nvPicPr>
        <xdr:cNvPr id="1897" name="Picture 179" descr="C:\Documents and Settings\lp1182\Local Settings\Temporary Internet Files\Content.IE5\HCX02NTR\MC900434912[1]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12134850"/>
          <a:ext cx="876300" cy="876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314326</xdr:colOff>
      <xdr:row>16</xdr:row>
      <xdr:rowOff>66675</xdr:rowOff>
    </xdr:from>
    <xdr:to>
      <xdr:col>10</xdr:col>
      <xdr:colOff>1562100</xdr:colOff>
      <xdr:row>18</xdr:row>
      <xdr:rowOff>95251</xdr:rowOff>
    </xdr:to>
    <xdr:sp macro="[0]!Pre_lockout_Inspection_button" textlink="">
      <xdr:nvSpPr>
        <xdr:cNvPr id="2" name="Rounded Rectangle 1"/>
        <xdr:cNvSpPr/>
      </xdr:nvSpPr>
      <xdr:spPr>
        <a:xfrm>
          <a:off x="7219951" y="2505075"/>
          <a:ext cx="1247774" cy="352426"/>
        </a:xfrm>
        <a:prstGeom prst="roundRect">
          <a:avLst/>
        </a:prstGeom>
        <a:solidFill>
          <a:srgbClr val="00B050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i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PASS</a:t>
          </a:r>
        </a:p>
      </xdr:txBody>
    </xdr:sp>
    <xdr:clientData/>
  </xdr:twoCellAnchor>
  <xdr:twoCellAnchor>
    <xdr:from>
      <xdr:col>10</xdr:col>
      <xdr:colOff>333375</xdr:colOff>
      <xdr:row>24</xdr:row>
      <xdr:rowOff>161924</xdr:rowOff>
    </xdr:from>
    <xdr:to>
      <xdr:col>10</xdr:col>
      <xdr:colOff>1571625</xdr:colOff>
      <xdr:row>26</xdr:row>
      <xdr:rowOff>142874</xdr:rowOff>
    </xdr:to>
    <xdr:sp macro="[0]!Solenoid_Valve_Inspection_button" textlink="">
      <xdr:nvSpPr>
        <xdr:cNvPr id="9" name="Rounded Rectangle 8"/>
        <xdr:cNvSpPr/>
      </xdr:nvSpPr>
      <xdr:spPr>
        <a:xfrm>
          <a:off x="7239000" y="5762624"/>
          <a:ext cx="1238250" cy="352425"/>
        </a:xfrm>
        <a:prstGeom prst="roundRect">
          <a:avLst/>
        </a:prstGeom>
        <a:solidFill>
          <a:srgbClr val="00B050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i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PASS</a:t>
          </a:r>
        </a:p>
      </xdr:txBody>
    </xdr:sp>
    <xdr:clientData/>
  </xdr:twoCellAnchor>
  <xdr:twoCellAnchor>
    <xdr:from>
      <xdr:col>10</xdr:col>
      <xdr:colOff>333375</xdr:colOff>
      <xdr:row>29</xdr:row>
      <xdr:rowOff>133350</xdr:rowOff>
    </xdr:from>
    <xdr:to>
      <xdr:col>10</xdr:col>
      <xdr:colOff>1571625</xdr:colOff>
      <xdr:row>32</xdr:row>
      <xdr:rowOff>0</xdr:rowOff>
    </xdr:to>
    <xdr:sp macro="[0]!Header_Valve_Positions_button" textlink="">
      <xdr:nvSpPr>
        <xdr:cNvPr id="10" name="Rounded Rectangle 9"/>
        <xdr:cNvSpPr/>
      </xdr:nvSpPr>
      <xdr:spPr>
        <a:xfrm>
          <a:off x="7239000" y="6629400"/>
          <a:ext cx="1238250" cy="352425"/>
        </a:xfrm>
        <a:prstGeom prst="roundRect">
          <a:avLst/>
        </a:prstGeom>
        <a:solidFill>
          <a:srgbClr val="00B050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i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OPEN</a:t>
          </a:r>
        </a:p>
      </xdr:txBody>
    </xdr:sp>
    <xdr:clientData/>
  </xdr:twoCellAnchor>
  <xdr:twoCellAnchor>
    <xdr:from>
      <xdr:col>10</xdr:col>
      <xdr:colOff>352425</xdr:colOff>
      <xdr:row>34</xdr:row>
      <xdr:rowOff>142875</xdr:rowOff>
    </xdr:from>
    <xdr:to>
      <xdr:col>10</xdr:col>
      <xdr:colOff>1590675</xdr:colOff>
      <xdr:row>36</xdr:row>
      <xdr:rowOff>133350</xdr:rowOff>
    </xdr:to>
    <xdr:sp macro="[0]!Electrical_Connection_inspection_button" textlink="">
      <xdr:nvSpPr>
        <xdr:cNvPr id="12" name="Rounded Rectangle 11"/>
        <xdr:cNvSpPr/>
      </xdr:nvSpPr>
      <xdr:spPr>
        <a:xfrm>
          <a:off x="7258050" y="7448550"/>
          <a:ext cx="1238250" cy="352425"/>
        </a:xfrm>
        <a:prstGeom prst="roundRect">
          <a:avLst/>
        </a:prstGeom>
        <a:solidFill>
          <a:srgbClr val="00B050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i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PASS</a:t>
          </a:r>
        </a:p>
      </xdr:txBody>
    </xdr:sp>
    <xdr:clientData/>
  </xdr:twoCellAnchor>
  <xdr:twoCellAnchor>
    <xdr:from>
      <xdr:col>10</xdr:col>
      <xdr:colOff>333375</xdr:colOff>
      <xdr:row>71</xdr:row>
      <xdr:rowOff>85725</xdr:rowOff>
    </xdr:from>
    <xdr:to>
      <xdr:col>10</xdr:col>
      <xdr:colOff>1571625</xdr:colOff>
      <xdr:row>73</xdr:row>
      <xdr:rowOff>114300</xdr:rowOff>
    </xdr:to>
    <xdr:sp macro="[0]!Thermocouple_check_button" textlink="">
      <xdr:nvSpPr>
        <xdr:cNvPr id="13" name="Rounded Rectangle 12"/>
        <xdr:cNvSpPr/>
      </xdr:nvSpPr>
      <xdr:spPr>
        <a:xfrm>
          <a:off x="7429500" y="14782800"/>
          <a:ext cx="1238250" cy="352425"/>
        </a:xfrm>
        <a:prstGeom prst="roundRect">
          <a:avLst/>
        </a:prstGeom>
        <a:solidFill>
          <a:srgbClr val="00B050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i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PASS</a:t>
          </a:r>
        </a:p>
      </xdr:txBody>
    </xdr:sp>
    <xdr:clientData/>
  </xdr:twoCellAnchor>
  <xdr:twoCellAnchor>
    <xdr:from>
      <xdr:col>10</xdr:col>
      <xdr:colOff>190500</xdr:colOff>
      <xdr:row>77</xdr:row>
      <xdr:rowOff>38100</xdr:rowOff>
    </xdr:from>
    <xdr:to>
      <xdr:col>10</xdr:col>
      <xdr:colOff>1447800</xdr:colOff>
      <xdr:row>80</xdr:row>
      <xdr:rowOff>190499</xdr:rowOff>
    </xdr:to>
    <xdr:sp macro="[0]!Save_File2" textlink="">
      <xdr:nvSpPr>
        <xdr:cNvPr id="11" name="Save_Preflight2"/>
        <xdr:cNvSpPr/>
      </xdr:nvSpPr>
      <xdr:spPr>
        <a:xfrm>
          <a:off x="7286625" y="13954125"/>
          <a:ext cx="1257300" cy="800099"/>
        </a:xfrm>
        <a:prstGeom prst="roundRect">
          <a:avLst/>
        </a:prstGeom>
        <a:solidFill>
          <a:srgbClr val="FFFF00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i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 Preflight</a:t>
          </a:r>
        </a:p>
      </xdr:txBody>
    </xdr:sp>
    <xdr:clientData/>
  </xdr:twoCellAnchor>
  <xdr:twoCellAnchor>
    <xdr:from>
      <xdr:col>1</xdr:col>
      <xdr:colOff>609600</xdr:colOff>
      <xdr:row>1</xdr:row>
      <xdr:rowOff>142875</xdr:rowOff>
    </xdr:from>
    <xdr:to>
      <xdr:col>3</xdr:col>
      <xdr:colOff>219075</xdr:colOff>
      <xdr:row>2</xdr:row>
      <xdr:rowOff>95250</xdr:rowOff>
    </xdr:to>
    <xdr:pic>
      <xdr:nvPicPr>
        <xdr:cNvPr id="14" name="Picture 1" descr="cid:image001.gif@01C713CC.ADB1DF40"/>
        <xdr:cNvPicPr>
          <a:picLocks noChangeAspect="1" noChangeArrowheads="1"/>
        </xdr:cNvPicPr>
      </xdr:nvPicPr>
      <xdr:blipFill>
        <a:blip xmlns:r="http://schemas.openxmlformats.org/officeDocument/2006/relationships" r:embed="rId2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2475" y="314325"/>
          <a:ext cx="140017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352425</xdr:colOff>
      <xdr:row>38</xdr:row>
      <xdr:rowOff>95250</xdr:rowOff>
    </xdr:from>
    <xdr:to>
      <xdr:col>10</xdr:col>
      <xdr:colOff>1590675</xdr:colOff>
      <xdr:row>40</xdr:row>
      <xdr:rowOff>123825</xdr:rowOff>
    </xdr:to>
    <xdr:sp macro="[0]!Plumbing_Eload_Simulator_button" textlink="">
      <xdr:nvSpPr>
        <xdr:cNvPr id="15" name="Rounded Rectangle 14"/>
        <xdr:cNvSpPr/>
      </xdr:nvSpPr>
      <xdr:spPr>
        <a:xfrm>
          <a:off x="7448550" y="7267575"/>
          <a:ext cx="1238250" cy="352425"/>
        </a:xfrm>
        <a:prstGeom prst="roundRect">
          <a:avLst/>
        </a:prstGeom>
        <a:solidFill>
          <a:srgbClr val="00B050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i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PASS</a:t>
          </a:r>
        </a:p>
      </xdr:txBody>
    </xdr:sp>
    <xdr:clientData/>
  </xdr:twoCellAnchor>
  <xdr:twoCellAnchor>
    <xdr:from>
      <xdr:col>10</xdr:col>
      <xdr:colOff>9525</xdr:colOff>
      <xdr:row>81</xdr:row>
      <xdr:rowOff>219075</xdr:rowOff>
    </xdr:from>
    <xdr:to>
      <xdr:col>11</xdr:col>
      <xdr:colOff>0</xdr:colOff>
      <xdr:row>86</xdr:row>
      <xdr:rowOff>247650</xdr:rowOff>
    </xdr:to>
    <xdr:sp macro="[0]!Mail_workbook_Outlook_1" textlink="">
      <xdr:nvSpPr>
        <xdr:cNvPr id="21" name="Send_Email"/>
        <xdr:cNvSpPr/>
      </xdr:nvSpPr>
      <xdr:spPr>
        <a:xfrm>
          <a:off x="7105650" y="15173325"/>
          <a:ext cx="1619250" cy="1019175"/>
        </a:xfrm>
        <a:prstGeom prst="roundRect">
          <a:avLst/>
        </a:prstGeom>
        <a:solidFill>
          <a:schemeClr val="tx2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i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Send</a:t>
          </a:r>
          <a:r>
            <a:rPr lang="en-US" sz="1800" b="1" i="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Email/Store Data</a:t>
          </a:r>
          <a:endParaRPr lang="en-US" sz="1800" b="1" i="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XFC304"/>
  <sheetViews>
    <sheetView tabSelected="1" zoomScaleNormal="100" zoomScaleSheetLayoutView="100" workbookViewId="0">
      <selection activeCell="D7" sqref="D7:E7"/>
    </sheetView>
  </sheetViews>
  <sheetFormatPr defaultColWidth="0" defaultRowHeight="12.75" zeroHeight="1" x14ac:dyDescent="0.2"/>
  <cols>
    <col min="1" max="1" width="2.140625" style="10" customWidth="1"/>
    <col min="2" max="2" width="15" style="11" customWidth="1"/>
    <col min="3" max="3" width="11.85546875" style="11" customWidth="1"/>
    <col min="4" max="5" width="11.7109375" style="11" customWidth="1"/>
    <col min="6" max="6" width="14.5703125" style="11" customWidth="1"/>
    <col min="7" max="7" width="13.28515625" style="11" customWidth="1"/>
    <col min="8" max="9" width="11.7109375" style="11" customWidth="1"/>
    <col min="10" max="10" width="2.7109375" style="10" customWidth="1"/>
    <col min="11" max="11" width="24.42578125" style="31" customWidth="1"/>
    <col min="12" max="16383" width="0" style="11" hidden="1"/>
    <col min="16384" max="16384" width="1.28515625" style="11" hidden="1" customWidth="1"/>
  </cols>
  <sheetData>
    <row r="1" spans="1:11" s="10" customFormat="1" ht="13.5" thickBot="1" x14ac:dyDescent="0.25">
      <c r="A1" s="350"/>
      <c r="B1" s="351"/>
      <c r="C1" s="351"/>
      <c r="D1" s="351"/>
      <c r="E1" s="351"/>
      <c r="F1" s="351"/>
      <c r="G1" s="351"/>
      <c r="H1" s="351"/>
      <c r="I1" s="351"/>
      <c r="J1" s="352"/>
      <c r="K1" s="33"/>
    </row>
    <row r="2" spans="1:11" ht="24" customHeight="1" x14ac:dyDescent="0.2">
      <c r="A2" s="70"/>
      <c r="B2" s="159"/>
      <c r="C2" s="160"/>
      <c r="D2" s="161"/>
      <c r="E2" s="366" t="s">
        <v>183</v>
      </c>
      <c r="F2" s="367"/>
      <c r="G2" s="367"/>
      <c r="H2" s="367"/>
      <c r="I2" s="368"/>
      <c r="J2" s="71"/>
      <c r="K2" s="34"/>
    </row>
    <row r="3" spans="1:11" ht="26.25" customHeight="1" x14ac:dyDescent="0.2">
      <c r="A3" s="70"/>
      <c r="B3" s="259" t="s">
        <v>182</v>
      </c>
      <c r="C3" s="260"/>
      <c r="D3" s="261"/>
      <c r="E3" s="154" t="s">
        <v>0</v>
      </c>
      <c r="F3" s="369" t="s">
        <v>1</v>
      </c>
      <c r="G3" s="369"/>
      <c r="H3" s="72" t="s">
        <v>2</v>
      </c>
      <c r="I3" s="155" t="s">
        <v>3</v>
      </c>
      <c r="J3" s="73"/>
      <c r="K3" s="34"/>
    </row>
    <row r="4" spans="1:11" ht="31.5" customHeight="1" thickBot="1" x14ac:dyDescent="0.25">
      <c r="A4" s="70"/>
      <c r="B4" s="262" t="s">
        <v>58</v>
      </c>
      <c r="C4" s="263"/>
      <c r="D4" s="264"/>
      <c r="E4" s="156" t="s">
        <v>53</v>
      </c>
      <c r="F4" s="370" t="s">
        <v>181</v>
      </c>
      <c r="G4" s="370"/>
      <c r="H4" s="157">
        <v>7.4</v>
      </c>
      <c r="I4" s="158" t="s">
        <v>159</v>
      </c>
      <c r="J4" s="73"/>
      <c r="K4" s="34"/>
    </row>
    <row r="5" spans="1:11" ht="13.5" thickBot="1" x14ac:dyDescent="0.25">
      <c r="A5" s="273"/>
      <c r="B5" s="274"/>
      <c r="C5" s="274"/>
      <c r="D5" s="274"/>
      <c r="E5" s="274"/>
      <c r="F5" s="274"/>
      <c r="G5" s="274"/>
      <c r="H5" s="274"/>
      <c r="I5" s="274"/>
      <c r="J5" s="275"/>
      <c r="K5" s="34"/>
    </row>
    <row r="6" spans="1:11" s="10" customFormat="1" ht="15.75" thickBot="1" x14ac:dyDescent="0.25">
      <c r="A6" s="70"/>
      <c r="B6" s="270" t="s">
        <v>142</v>
      </c>
      <c r="C6" s="271"/>
      <c r="D6" s="271"/>
      <c r="E6" s="271"/>
      <c r="F6" s="271"/>
      <c r="G6" s="271"/>
      <c r="H6" s="271"/>
      <c r="I6" s="272"/>
      <c r="J6" s="78"/>
      <c r="K6" s="34"/>
    </row>
    <row r="7" spans="1:11" x14ac:dyDescent="0.2">
      <c r="A7" s="74"/>
      <c r="B7" s="265" t="s">
        <v>5</v>
      </c>
      <c r="C7" s="266"/>
      <c r="D7" s="267"/>
      <c r="E7" s="267"/>
      <c r="F7" s="266" t="s">
        <v>45</v>
      </c>
      <c r="G7" s="266"/>
      <c r="H7" s="268"/>
      <c r="I7" s="269"/>
      <c r="J7" s="79"/>
      <c r="K7" s="63"/>
    </row>
    <row r="8" spans="1:11" ht="13.5" thickBot="1" x14ac:dyDescent="0.25">
      <c r="A8" s="74"/>
      <c r="B8" s="364" t="s">
        <v>46</v>
      </c>
      <c r="C8" s="365"/>
      <c r="D8" s="359">
        <f ca="1">NOW()</f>
        <v>43311.918385879631</v>
      </c>
      <c r="E8" s="360"/>
      <c r="F8" s="361" t="s">
        <v>6</v>
      </c>
      <c r="G8" s="361"/>
      <c r="H8" s="362"/>
      <c r="I8" s="363"/>
      <c r="J8" s="71"/>
      <c r="K8" s="63"/>
    </row>
    <row r="9" spans="1:11" ht="15.75" thickBot="1" x14ac:dyDescent="0.25">
      <c r="A9" s="74"/>
      <c r="B9" s="282" t="s">
        <v>163</v>
      </c>
      <c r="C9" s="283"/>
      <c r="D9" s="283"/>
      <c r="E9" s="284"/>
      <c r="F9" s="285" t="s">
        <v>151</v>
      </c>
      <c r="G9" s="286"/>
      <c r="H9" s="287"/>
      <c r="I9" s="288"/>
      <c r="J9" s="73"/>
      <c r="K9" s="35"/>
    </row>
    <row r="10" spans="1:11" ht="13.5" thickBot="1" x14ac:dyDescent="0.25">
      <c r="A10" s="205"/>
      <c r="B10" s="206"/>
      <c r="C10" s="206"/>
      <c r="D10" s="206"/>
      <c r="E10" s="206"/>
      <c r="F10" s="206"/>
      <c r="G10" s="206"/>
      <c r="H10" s="206"/>
      <c r="I10" s="206"/>
      <c r="J10" s="207"/>
      <c r="K10" s="35"/>
    </row>
    <row r="11" spans="1:11" ht="15.75" thickBot="1" x14ac:dyDescent="0.25">
      <c r="A11" s="74"/>
      <c r="B11" s="291" t="s">
        <v>143</v>
      </c>
      <c r="C11" s="292"/>
      <c r="D11" s="292"/>
      <c r="E11" s="292"/>
      <c r="F11" s="292"/>
      <c r="G11" s="292"/>
      <c r="H11" s="292"/>
      <c r="I11" s="293"/>
      <c r="J11" s="73"/>
      <c r="K11" s="35"/>
    </row>
    <row r="12" spans="1:11" x14ac:dyDescent="0.2">
      <c r="A12" s="74"/>
      <c r="B12" s="122" t="s">
        <v>146</v>
      </c>
      <c r="C12" s="123" t="s">
        <v>102</v>
      </c>
      <c r="D12" s="123" t="s">
        <v>103</v>
      </c>
      <c r="E12" s="123" t="s">
        <v>104</v>
      </c>
      <c r="F12" s="123" t="s">
        <v>47</v>
      </c>
      <c r="G12" s="124" t="s">
        <v>54</v>
      </c>
      <c r="H12" s="289" t="s">
        <v>180</v>
      </c>
      <c r="I12" s="290"/>
      <c r="J12" s="71"/>
      <c r="K12" s="35"/>
    </row>
    <row r="13" spans="1:11" x14ac:dyDescent="0.2">
      <c r="A13" s="74"/>
      <c r="B13" s="125" t="s">
        <v>144</v>
      </c>
      <c r="C13" s="50"/>
      <c r="D13" s="50"/>
      <c r="E13" s="50"/>
      <c r="F13" s="50"/>
      <c r="G13" s="68"/>
      <c r="H13" s="238"/>
      <c r="I13" s="239"/>
      <c r="J13" s="71"/>
      <c r="K13" s="35"/>
    </row>
    <row r="14" spans="1:11" ht="13.5" thickBot="1" x14ac:dyDescent="0.25">
      <c r="A14" s="74"/>
      <c r="B14" s="126" t="s">
        <v>145</v>
      </c>
      <c r="C14" s="42"/>
      <c r="D14" s="42"/>
      <c r="E14" s="42"/>
      <c r="F14" s="42"/>
      <c r="G14" s="69"/>
      <c r="H14" s="240"/>
      <c r="I14" s="241"/>
      <c r="J14" s="71"/>
      <c r="K14" s="35"/>
    </row>
    <row r="15" spans="1:11" s="10" customFormat="1" ht="13.5" thickBot="1" x14ac:dyDescent="0.25">
      <c r="A15" s="205"/>
      <c r="B15" s="206"/>
      <c r="C15" s="206"/>
      <c r="D15" s="206"/>
      <c r="E15" s="206"/>
      <c r="F15" s="206"/>
      <c r="G15" s="206"/>
      <c r="H15" s="206"/>
      <c r="I15" s="206"/>
      <c r="J15" s="207"/>
      <c r="K15" s="35"/>
    </row>
    <row r="16" spans="1:11" ht="15.75" thickBot="1" x14ac:dyDescent="0.25">
      <c r="A16" s="74"/>
      <c r="B16" s="231" t="s">
        <v>171</v>
      </c>
      <c r="C16" s="232"/>
      <c r="D16" s="232"/>
      <c r="E16" s="232"/>
      <c r="F16" s="232"/>
      <c r="G16" s="232"/>
      <c r="H16" s="232"/>
      <c r="I16" s="233"/>
      <c r="J16" s="80"/>
      <c r="K16" s="35"/>
    </row>
    <row r="17" spans="1:11" x14ac:dyDescent="0.2">
      <c r="A17" s="74"/>
      <c r="B17" s="328" t="s">
        <v>124</v>
      </c>
      <c r="C17" s="329"/>
      <c r="D17" s="335" t="s">
        <v>132</v>
      </c>
      <c r="E17" s="336"/>
      <c r="F17" s="304" t="s">
        <v>125</v>
      </c>
      <c r="G17" s="294"/>
      <c r="H17" s="340" t="s">
        <v>132</v>
      </c>
      <c r="I17" s="341"/>
      <c r="J17" s="71"/>
      <c r="K17" s="35"/>
    </row>
    <row r="18" spans="1:11" x14ac:dyDescent="0.2">
      <c r="A18" s="74"/>
      <c r="B18" s="308" t="s">
        <v>123</v>
      </c>
      <c r="C18" s="309"/>
      <c r="D18" s="344" t="s">
        <v>132</v>
      </c>
      <c r="E18" s="344"/>
      <c r="F18" s="308" t="s">
        <v>122</v>
      </c>
      <c r="G18" s="309"/>
      <c r="H18" s="298" t="s">
        <v>132</v>
      </c>
      <c r="I18" s="299"/>
      <c r="J18" s="71"/>
      <c r="K18" s="35"/>
    </row>
    <row r="19" spans="1:11" ht="13.5" thickBot="1" x14ac:dyDescent="0.25">
      <c r="A19" s="74"/>
      <c r="B19" s="310" t="s">
        <v>127</v>
      </c>
      <c r="C19" s="311"/>
      <c r="D19" s="280" t="s">
        <v>132</v>
      </c>
      <c r="E19" s="280"/>
      <c r="F19" s="342" t="s">
        <v>186</v>
      </c>
      <c r="G19" s="343"/>
      <c r="H19" s="280" t="s">
        <v>132</v>
      </c>
      <c r="I19" s="281"/>
      <c r="J19" s="81"/>
      <c r="K19" s="35"/>
    </row>
    <row r="20" spans="1:11" s="10" customFormat="1" ht="13.5" thickBot="1" x14ac:dyDescent="0.25">
      <c r="A20" s="205"/>
      <c r="B20" s="206"/>
      <c r="C20" s="206"/>
      <c r="D20" s="206"/>
      <c r="E20" s="206"/>
      <c r="F20" s="206"/>
      <c r="G20" s="206"/>
      <c r="H20" s="206"/>
      <c r="I20" s="206"/>
      <c r="J20" s="207"/>
      <c r="K20" s="35"/>
    </row>
    <row r="21" spans="1:11" ht="15" customHeight="1" thickBot="1" x14ac:dyDescent="0.25">
      <c r="A21" s="74"/>
      <c r="B21" s="276" t="s">
        <v>158</v>
      </c>
      <c r="C21" s="277"/>
      <c r="D21" s="277"/>
      <c r="E21" s="277"/>
      <c r="F21" s="277"/>
      <c r="G21" s="277"/>
      <c r="H21" s="277"/>
      <c r="I21" s="278"/>
      <c r="J21" s="80"/>
      <c r="K21" s="35"/>
    </row>
    <row r="22" spans="1:11" ht="15.75" thickBot="1" x14ac:dyDescent="0.25">
      <c r="A22" s="74"/>
      <c r="B22" s="242" t="s">
        <v>150</v>
      </c>
      <c r="C22" s="243"/>
      <c r="D22" s="353"/>
      <c r="E22" s="354"/>
      <c r="F22" s="294" t="s">
        <v>152</v>
      </c>
      <c r="G22" s="295"/>
      <c r="H22" s="296" t="str">
        <f>IF(ISBLANK(D22),"N/A",ABS(H9-D22))</f>
        <v>N/A</v>
      </c>
      <c r="I22" s="297"/>
      <c r="J22" s="82"/>
      <c r="K22" s="35"/>
    </row>
    <row r="23" spans="1:11" ht="15.75" thickBot="1" x14ac:dyDescent="0.25">
      <c r="A23" s="74"/>
      <c r="B23" s="224" t="s">
        <v>164</v>
      </c>
      <c r="C23" s="225"/>
      <c r="D23" s="225"/>
      <c r="E23" s="226"/>
      <c r="F23" s="227" t="s">
        <v>149</v>
      </c>
      <c r="G23" s="228"/>
      <c r="H23" s="229"/>
      <c r="I23" s="230"/>
      <c r="J23" s="82"/>
      <c r="K23" s="35"/>
    </row>
    <row r="24" spans="1:11" s="10" customFormat="1" ht="12.75" customHeight="1" thickBot="1" x14ac:dyDescent="0.25">
      <c r="A24" s="205"/>
      <c r="B24" s="206"/>
      <c r="C24" s="206"/>
      <c r="D24" s="206"/>
      <c r="E24" s="206"/>
      <c r="F24" s="206"/>
      <c r="G24" s="206"/>
      <c r="H24" s="206"/>
      <c r="I24" s="206"/>
      <c r="J24" s="207"/>
      <c r="K24" s="35"/>
    </row>
    <row r="25" spans="1:11" s="15" customFormat="1" ht="16.5" customHeight="1" thickBot="1" x14ac:dyDescent="0.25">
      <c r="A25" s="75"/>
      <c r="B25" s="276" t="s">
        <v>138</v>
      </c>
      <c r="C25" s="277"/>
      <c r="D25" s="277"/>
      <c r="E25" s="277"/>
      <c r="F25" s="277"/>
      <c r="G25" s="277"/>
      <c r="H25" s="277"/>
      <c r="I25" s="278"/>
      <c r="J25" s="80"/>
      <c r="K25" s="36"/>
    </row>
    <row r="26" spans="1:11" s="15" customFormat="1" ht="12.95" customHeight="1" x14ac:dyDescent="0.2">
      <c r="A26" s="75"/>
      <c r="B26" s="300" t="s">
        <v>14</v>
      </c>
      <c r="C26" s="301"/>
      <c r="D26" s="236" t="s">
        <v>132</v>
      </c>
      <c r="E26" s="237"/>
      <c r="F26" s="255" t="s">
        <v>16</v>
      </c>
      <c r="G26" s="256"/>
      <c r="H26" s="236" t="s">
        <v>132</v>
      </c>
      <c r="I26" s="250"/>
      <c r="J26" s="71"/>
      <c r="K26" s="36"/>
    </row>
    <row r="27" spans="1:11" s="15" customFormat="1" ht="12.95" customHeight="1" thickBot="1" x14ac:dyDescent="0.25">
      <c r="A27" s="75"/>
      <c r="B27" s="248" t="s">
        <v>15</v>
      </c>
      <c r="C27" s="249"/>
      <c r="D27" s="251" t="s">
        <v>132</v>
      </c>
      <c r="E27" s="252"/>
      <c r="F27" s="253" t="s">
        <v>17</v>
      </c>
      <c r="G27" s="254"/>
      <c r="H27" s="251" t="s">
        <v>132</v>
      </c>
      <c r="I27" s="258"/>
      <c r="J27" s="81"/>
      <c r="K27" s="36"/>
    </row>
    <row r="28" spans="1:11" s="10" customFormat="1" ht="12.75" customHeight="1" thickBot="1" x14ac:dyDescent="0.25">
      <c r="A28" s="205"/>
      <c r="B28" s="206"/>
      <c r="C28" s="206"/>
      <c r="D28" s="206"/>
      <c r="E28" s="206"/>
      <c r="F28" s="206"/>
      <c r="G28" s="206"/>
      <c r="H28" s="206"/>
      <c r="I28" s="206"/>
      <c r="J28" s="207"/>
      <c r="K28" s="35"/>
    </row>
    <row r="29" spans="1:11" ht="15.75" customHeight="1" thickBot="1" x14ac:dyDescent="0.25">
      <c r="A29" s="74"/>
      <c r="B29" s="231" t="s">
        <v>172</v>
      </c>
      <c r="C29" s="232"/>
      <c r="D29" s="232"/>
      <c r="E29" s="232"/>
      <c r="F29" s="232"/>
      <c r="G29" s="232"/>
      <c r="H29" s="232"/>
      <c r="I29" s="233"/>
      <c r="J29" s="80"/>
      <c r="K29" s="35"/>
    </row>
    <row r="30" spans="1:11" ht="12.95" customHeight="1" x14ac:dyDescent="0.2">
      <c r="A30" s="74"/>
      <c r="B30" s="304" t="s">
        <v>63</v>
      </c>
      <c r="C30" s="294"/>
      <c r="D30" s="279" t="s">
        <v>132</v>
      </c>
      <c r="E30" s="279"/>
      <c r="F30" s="304" t="s">
        <v>128</v>
      </c>
      <c r="G30" s="294"/>
      <c r="H30" s="279" t="s">
        <v>132</v>
      </c>
      <c r="I30" s="307"/>
      <c r="J30" s="83"/>
      <c r="K30" s="35"/>
    </row>
    <row r="31" spans="1:11" ht="12.95" customHeight="1" x14ac:dyDescent="0.2">
      <c r="A31" s="74"/>
      <c r="B31" s="302" t="s">
        <v>64</v>
      </c>
      <c r="C31" s="303"/>
      <c r="D31" s="257" t="s">
        <v>132</v>
      </c>
      <c r="E31" s="257"/>
      <c r="F31" s="302" t="s">
        <v>129</v>
      </c>
      <c r="G31" s="303"/>
      <c r="H31" s="257" t="s">
        <v>132</v>
      </c>
      <c r="I31" s="306"/>
      <c r="J31" s="83"/>
      <c r="K31" s="35"/>
    </row>
    <row r="32" spans="1:11" ht="12.95" customHeight="1" x14ac:dyDescent="0.2">
      <c r="A32" s="74"/>
      <c r="B32" s="302" t="s">
        <v>65</v>
      </c>
      <c r="C32" s="303"/>
      <c r="D32" s="257" t="s">
        <v>132</v>
      </c>
      <c r="E32" s="257"/>
      <c r="F32" s="234" t="s">
        <v>66</v>
      </c>
      <c r="G32" s="235"/>
      <c r="H32" s="257" t="s">
        <v>132</v>
      </c>
      <c r="I32" s="306"/>
      <c r="J32" s="83"/>
      <c r="K32" s="35"/>
    </row>
    <row r="33" spans="1:11" ht="12.95" customHeight="1" thickBot="1" x14ac:dyDescent="0.25">
      <c r="A33" s="74"/>
      <c r="B33" s="338" t="s">
        <v>153</v>
      </c>
      <c r="C33" s="339"/>
      <c r="D33" s="246" t="s">
        <v>132</v>
      </c>
      <c r="E33" s="246"/>
      <c r="F33" s="244" t="s">
        <v>67</v>
      </c>
      <c r="G33" s="245"/>
      <c r="H33" s="246" t="s">
        <v>132</v>
      </c>
      <c r="I33" s="247"/>
      <c r="J33" s="83"/>
      <c r="K33" s="35"/>
    </row>
    <row r="34" spans="1:11" s="10" customFormat="1" ht="13.5" thickBot="1" x14ac:dyDescent="0.25">
      <c r="A34" s="205"/>
      <c r="B34" s="206"/>
      <c r="C34" s="206"/>
      <c r="D34" s="206"/>
      <c r="E34" s="206"/>
      <c r="F34" s="206"/>
      <c r="G34" s="206"/>
      <c r="H34" s="206"/>
      <c r="I34" s="206"/>
      <c r="J34" s="207"/>
      <c r="K34" s="35"/>
    </row>
    <row r="35" spans="1:11" s="10" customFormat="1" ht="15.75" customHeight="1" thickBot="1" x14ac:dyDescent="0.25">
      <c r="A35" s="70"/>
      <c r="B35" s="276" t="s">
        <v>139</v>
      </c>
      <c r="C35" s="277"/>
      <c r="D35" s="277"/>
      <c r="E35" s="277"/>
      <c r="F35" s="277"/>
      <c r="G35" s="277"/>
      <c r="H35" s="277"/>
      <c r="I35" s="278"/>
      <c r="J35" s="80"/>
      <c r="K35" s="34"/>
    </row>
    <row r="36" spans="1:11" ht="12.95" customHeight="1" x14ac:dyDescent="0.2">
      <c r="A36" s="74"/>
      <c r="B36" s="337" t="s">
        <v>13</v>
      </c>
      <c r="C36" s="295"/>
      <c r="D36" s="236" t="s">
        <v>132</v>
      </c>
      <c r="E36" s="237"/>
      <c r="F36" s="255" t="s">
        <v>11</v>
      </c>
      <c r="G36" s="256"/>
      <c r="H36" s="236" t="s">
        <v>132</v>
      </c>
      <c r="I36" s="250"/>
      <c r="J36" s="71"/>
      <c r="K36" s="35"/>
    </row>
    <row r="37" spans="1:11" ht="12.95" customHeight="1" thickBot="1" x14ac:dyDescent="0.25">
      <c r="A37" s="74"/>
      <c r="B37" s="248" t="s">
        <v>10</v>
      </c>
      <c r="C37" s="249"/>
      <c r="D37" s="251" t="s">
        <v>132</v>
      </c>
      <c r="E37" s="252"/>
      <c r="F37" s="248" t="s">
        <v>12</v>
      </c>
      <c r="G37" s="249"/>
      <c r="H37" s="251" t="s">
        <v>132</v>
      </c>
      <c r="I37" s="258"/>
      <c r="J37" s="81"/>
      <c r="K37" s="35"/>
    </row>
    <row r="38" spans="1:11" s="10" customFormat="1" ht="13.5" thickBot="1" x14ac:dyDescent="0.25">
      <c r="A38" s="205"/>
      <c r="B38" s="206"/>
      <c r="C38" s="206"/>
      <c r="D38" s="206"/>
      <c r="E38" s="206"/>
      <c r="F38" s="206"/>
      <c r="G38" s="206"/>
      <c r="H38" s="206"/>
      <c r="I38" s="206"/>
      <c r="J38" s="207"/>
      <c r="K38" s="35"/>
    </row>
    <row r="39" spans="1:11" ht="12.95" customHeight="1" thickBot="1" x14ac:dyDescent="0.25">
      <c r="A39" s="74"/>
      <c r="B39" s="213" t="s">
        <v>140</v>
      </c>
      <c r="C39" s="214"/>
      <c r="D39" s="214"/>
      <c r="E39" s="214"/>
      <c r="F39" s="319" t="s">
        <v>42</v>
      </c>
      <c r="G39" s="320"/>
      <c r="H39" s="214" t="s">
        <v>60</v>
      </c>
      <c r="I39" s="215"/>
      <c r="J39" s="81"/>
      <c r="K39" s="35"/>
    </row>
    <row r="40" spans="1:11" ht="12.95" customHeight="1" x14ac:dyDescent="0.2">
      <c r="A40" s="74"/>
      <c r="B40" s="321" t="s">
        <v>25</v>
      </c>
      <c r="C40" s="356"/>
      <c r="D40" s="357" t="s">
        <v>132</v>
      </c>
      <c r="E40" s="358"/>
      <c r="F40" s="127" t="s">
        <v>134</v>
      </c>
      <c r="G40" s="16" t="s">
        <v>132</v>
      </c>
      <c r="H40" s="321" t="s">
        <v>137</v>
      </c>
      <c r="I40" s="323" t="s">
        <v>132</v>
      </c>
      <c r="J40" s="81"/>
      <c r="K40" s="35"/>
    </row>
    <row r="41" spans="1:11" ht="12.95" customHeight="1" thickBot="1" x14ac:dyDescent="0.25">
      <c r="A41" s="74"/>
      <c r="B41" s="310" t="s">
        <v>157</v>
      </c>
      <c r="C41" s="311"/>
      <c r="D41" s="251" t="s">
        <v>132</v>
      </c>
      <c r="E41" s="252"/>
      <c r="F41" s="128" t="s">
        <v>135</v>
      </c>
      <c r="G41" s="48" t="s">
        <v>132</v>
      </c>
      <c r="H41" s="322"/>
      <c r="I41" s="324"/>
      <c r="J41" s="81"/>
      <c r="K41" s="35"/>
    </row>
    <row r="42" spans="1:11" s="10" customFormat="1" ht="13.5" thickBot="1" x14ac:dyDescent="0.25">
      <c r="A42" s="205"/>
      <c r="B42" s="206"/>
      <c r="C42" s="206"/>
      <c r="D42" s="206"/>
      <c r="E42" s="206"/>
      <c r="F42" s="206"/>
      <c r="G42" s="206"/>
      <c r="H42" s="206"/>
      <c r="I42" s="206"/>
      <c r="J42" s="207"/>
      <c r="K42" s="35"/>
    </row>
    <row r="43" spans="1:11" ht="12.95" customHeight="1" thickBot="1" x14ac:dyDescent="0.25">
      <c r="A43" s="74"/>
      <c r="B43" s="216" t="s">
        <v>141</v>
      </c>
      <c r="C43" s="217"/>
      <c r="D43" s="217"/>
      <c r="E43" s="217"/>
      <c r="F43" s="217"/>
      <c r="G43" s="217"/>
      <c r="H43" s="214"/>
      <c r="I43" s="215"/>
      <c r="J43" s="81"/>
      <c r="K43" s="35"/>
    </row>
    <row r="44" spans="1:11" ht="15.75" thickBot="1" x14ac:dyDescent="0.25">
      <c r="A44" s="74"/>
      <c r="B44" s="312" t="s">
        <v>147</v>
      </c>
      <c r="C44" s="313"/>
      <c r="D44" s="313"/>
      <c r="E44" s="313"/>
      <c r="F44" s="313"/>
      <c r="G44" s="313"/>
      <c r="H44" s="129" t="s">
        <v>23</v>
      </c>
      <c r="I44" s="38"/>
      <c r="J44" s="81"/>
      <c r="K44" s="35"/>
    </row>
    <row r="45" spans="1:11" ht="12.95" customHeight="1" thickBot="1" x14ac:dyDescent="0.25">
      <c r="A45" s="74"/>
      <c r="B45" s="163" t="s">
        <v>18</v>
      </c>
      <c r="C45" s="164" t="s">
        <v>22</v>
      </c>
      <c r="D45" s="165" t="s">
        <v>19</v>
      </c>
      <c r="E45" s="166" t="s">
        <v>4</v>
      </c>
      <c r="F45" s="132" t="s">
        <v>20</v>
      </c>
      <c r="G45" s="133" t="s">
        <v>160</v>
      </c>
      <c r="H45" s="134" t="s">
        <v>21</v>
      </c>
      <c r="I45" s="135" t="s">
        <v>160</v>
      </c>
      <c r="J45" s="81"/>
      <c r="K45" s="35"/>
    </row>
    <row r="46" spans="1:11" ht="12.95" customHeight="1" x14ac:dyDescent="0.2">
      <c r="A46" s="74"/>
      <c r="B46" s="169" t="s">
        <v>102</v>
      </c>
      <c r="C46" s="168" t="str">
        <f>IF(ISBLANK(C13),"",C13)</f>
        <v/>
      </c>
      <c r="D46" s="167" t="str">
        <f>IF(ISBLANK(C14),"",C14)</f>
        <v/>
      </c>
      <c r="E46" s="170" t="str">
        <f>IF(ISBLANK(C14),"",C14/2)</f>
        <v/>
      </c>
      <c r="F46" s="59"/>
      <c r="G46" s="60" t="str">
        <f t="shared" ref="G46:G51" si="0">IF(ISBLANK(F46),"N/A",(ABS(E46-F46)/(0.01*D46))/100)</f>
        <v>N/A</v>
      </c>
      <c r="H46" s="59"/>
      <c r="I46" s="60" t="str">
        <f t="shared" ref="I46:I51" si="1">IF(ISBLANK(H46),"N/A",(ABS(H46)/(0.01*D46))/100)</f>
        <v>N/A</v>
      </c>
      <c r="J46" s="81"/>
      <c r="K46" s="35"/>
    </row>
    <row r="47" spans="1:11" ht="12.95" customHeight="1" x14ac:dyDescent="0.2">
      <c r="A47" s="74"/>
      <c r="B47" s="130" t="s">
        <v>103</v>
      </c>
      <c r="C47" s="51" t="str">
        <f>IF(ISBLANK(D13),"",D13)</f>
        <v/>
      </c>
      <c r="D47" s="52" t="str">
        <f>IF(ISBLANK(D14),"",D14)</f>
        <v/>
      </c>
      <c r="E47" s="55" t="str">
        <f>IF(ISBLANK(D14),"",D14/2)</f>
        <v/>
      </c>
      <c r="F47" s="53"/>
      <c r="G47" s="61" t="str">
        <f t="shared" si="0"/>
        <v>N/A</v>
      </c>
      <c r="H47" s="53"/>
      <c r="I47" s="61" t="str">
        <f t="shared" si="1"/>
        <v>N/A</v>
      </c>
      <c r="J47" s="81"/>
      <c r="K47" s="35"/>
    </row>
    <row r="48" spans="1:11" ht="12.95" customHeight="1" x14ac:dyDescent="0.2">
      <c r="A48" s="74"/>
      <c r="B48" s="130" t="s">
        <v>104</v>
      </c>
      <c r="C48" s="51" t="str">
        <f>IF(ISBLANK(E13),"",E13)</f>
        <v/>
      </c>
      <c r="D48" s="52" t="str">
        <f>IF(ISBLANK(E14),"",E14)</f>
        <v/>
      </c>
      <c r="E48" s="55" t="str">
        <f>IF(ISBLANK(E14),"",E14/2)</f>
        <v/>
      </c>
      <c r="F48" s="53"/>
      <c r="G48" s="61" t="str">
        <f t="shared" si="0"/>
        <v>N/A</v>
      </c>
      <c r="H48" s="53"/>
      <c r="I48" s="61" t="str">
        <f t="shared" si="1"/>
        <v>N/A</v>
      </c>
      <c r="J48" s="81"/>
      <c r="K48" s="35"/>
    </row>
    <row r="49" spans="1:11" ht="12.95" customHeight="1" x14ac:dyDescent="0.2">
      <c r="A49" s="74"/>
      <c r="B49" s="130" t="s">
        <v>47</v>
      </c>
      <c r="C49" s="51" t="str">
        <f>IF(ISBLANK(F13),"",F13)</f>
        <v/>
      </c>
      <c r="D49" s="52" t="str">
        <f>IF(ISBLANK(F14),"",F14)</f>
        <v/>
      </c>
      <c r="E49" s="55" t="str">
        <f>IF(ISBLANK(F14),"",F14/2)</f>
        <v/>
      </c>
      <c r="F49" s="53"/>
      <c r="G49" s="61" t="str">
        <f t="shared" si="0"/>
        <v>N/A</v>
      </c>
      <c r="H49" s="53"/>
      <c r="I49" s="61" t="str">
        <f t="shared" si="1"/>
        <v>N/A</v>
      </c>
      <c r="J49" s="81"/>
      <c r="K49" s="35"/>
    </row>
    <row r="50" spans="1:11" ht="12.95" customHeight="1" x14ac:dyDescent="0.2">
      <c r="A50" s="74"/>
      <c r="B50" s="130" t="s">
        <v>54</v>
      </c>
      <c r="C50" s="51" t="str">
        <f>IF(ISBLANK(G13),"",G13)</f>
        <v/>
      </c>
      <c r="D50" s="52" t="str">
        <f>IF(ISBLANK(G14),"",G14)</f>
        <v/>
      </c>
      <c r="E50" s="55" t="str">
        <f>IF(ISBLANK(G14),"",G14/2)</f>
        <v/>
      </c>
      <c r="F50" s="53"/>
      <c r="G50" s="61" t="str">
        <f t="shared" si="0"/>
        <v>N/A</v>
      </c>
      <c r="H50" s="53"/>
      <c r="I50" s="61" t="str">
        <f t="shared" si="1"/>
        <v>N/A</v>
      </c>
      <c r="J50" s="81"/>
      <c r="K50" s="35"/>
    </row>
    <row r="51" spans="1:11" ht="12.95" customHeight="1" thickBot="1" x14ac:dyDescent="0.25">
      <c r="A51" s="74"/>
      <c r="B51" s="131" t="s">
        <v>180</v>
      </c>
      <c r="C51" s="56" t="str">
        <f>IF(ISBLANK(H13),"",H13)</f>
        <v/>
      </c>
      <c r="D51" s="57" t="str">
        <f>IF(ISBLANK(H14),"",H14)</f>
        <v/>
      </c>
      <c r="E51" s="58" t="str">
        <f>IF(ISBLANK(H14),"",H14/2)</f>
        <v/>
      </c>
      <c r="F51" s="54"/>
      <c r="G51" s="62" t="str">
        <f t="shared" si="0"/>
        <v>N/A</v>
      </c>
      <c r="H51" s="54"/>
      <c r="I51" s="62" t="str">
        <f t="shared" si="1"/>
        <v>N/A</v>
      </c>
      <c r="J51" s="81"/>
      <c r="K51" s="35"/>
    </row>
    <row r="52" spans="1:11" s="10" customFormat="1" ht="13.5" thickBot="1" x14ac:dyDescent="0.25">
      <c r="A52" s="314"/>
      <c r="B52" s="315"/>
      <c r="C52" s="315"/>
      <c r="D52" s="315"/>
      <c r="E52" s="315"/>
      <c r="F52" s="315"/>
      <c r="G52" s="315"/>
      <c r="H52" s="315"/>
      <c r="I52" s="315"/>
      <c r="J52" s="316"/>
      <c r="K52" s="37"/>
    </row>
    <row r="53" spans="1:11" ht="17.25" customHeight="1" thickBot="1" x14ac:dyDescent="0.25">
      <c r="A53" s="74"/>
      <c r="B53" s="181" t="s">
        <v>148</v>
      </c>
      <c r="C53" s="182"/>
      <c r="D53" s="129" t="s">
        <v>26</v>
      </c>
      <c r="E53" s="136" t="s">
        <v>28</v>
      </c>
      <c r="F53" s="129" t="s">
        <v>27</v>
      </c>
      <c r="G53" s="136" t="s">
        <v>29</v>
      </c>
      <c r="H53" s="137" t="s">
        <v>30</v>
      </c>
      <c r="I53" s="136" t="s">
        <v>52</v>
      </c>
      <c r="J53" s="81"/>
      <c r="K53" s="35"/>
    </row>
    <row r="54" spans="1:11" ht="14.25" customHeight="1" thickBot="1" x14ac:dyDescent="0.25">
      <c r="A54" s="76"/>
      <c r="B54" s="189" t="s">
        <v>59</v>
      </c>
      <c r="C54" s="190"/>
      <c r="D54" s="39"/>
      <c r="E54" s="40"/>
      <c r="F54" s="39"/>
      <c r="G54" s="40"/>
      <c r="H54" s="45" t="str">
        <f>IF(OR(ISBLANK(D54),ISBLANK(F54)),"",D54-F54)</f>
        <v/>
      </c>
      <c r="I54" s="44" t="e">
        <f>IF(ISBLANK(H54),"",H54/(MINUTE(TEXT(G54-E54,"h:mm"))))</f>
        <v>#VALUE!</v>
      </c>
      <c r="J54" s="79"/>
      <c r="K54" s="37"/>
    </row>
    <row r="55" spans="1:11" ht="15" customHeight="1" thickBot="1" x14ac:dyDescent="0.25">
      <c r="A55" s="76"/>
      <c r="B55" s="183" t="s">
        <v>162</v>
      </c>
      <c r="C55" s="184"/>
      <c r="D55" s="185"/>
      <c r="E55" s="185"/>
      <c r="F55" s="187" t="e">
        <f>IF(OR(I54&gt;0.01,I54&lt;-0.002),"Yes","No")</f>
        <v>#VALUE!</v>
      </c>
      <c r="G55" s="188"/>
      <c r="H55" s="138"/>
      <c r="I55" s="139"/>
      <c r="J55" s="79"/>
      <c r="K55" s="37"/>
    </row>
    <row r="56" spans="1:11" s="10" customFormat="1" ht="17.25" customHeight="1" thickBot="1" x14ac:dyDescent="0.25">
      <c r="A56" s="205"/>
      <c r="B56" s="206"/>
      <c r="C56" s="206"/>
      <c r="D56" s="206"/>
      <c r="E56" s="206"/>
      <c r="F56" s="206"/>
      <c r="G56" s="206"/>
      <c r="H56" s="206"/>
      <c r="I56" s="206"/>
      <c r="J56" s="207"/>
      <c r="K56" s="35"/>
    </row>
    <row r="57" spans="1:11" s="10" customFormat="1" ht="17.25" customHeight="1" thickBot="1" x14ac:dyDescent="0.25">
      <c r="A57" s="74"/>
      <c r="B57" s="330"/>
      <c r="C57" s="331"/>
      <c r="D57" s="140" t="s">
        <v>26</v>
      </c>
      <c r="E57" s="140" t="s">
        <v>28</v>
      </c>
      <c r="F57" s="140" t="s">
        <v>27</v>
      </c>
      <c r="G57" s="140" t="s">
        <v>29</v>
      </c>
      <c r="H57" s="140" t="s">
        <v>30</v>
      </c>
      <c r="I57" s="136" t="s">
        <v>52</v>
      </c>
      <c r="J57" s="81"/>
      <c r="K57" s="35"/>
    </row>
    <row r="58" spans="1:11" s="10" customFormat="1" ht="15" customHeight="1" thickBot="1" x14ac:dyDescent="0.25">
      <c r="A58" s="74"/>
      <c r="B58" s="174" t="s">
        <v>56</v>
      </c>
      <c r="C58" s="175"/>
      <c r="D58" s="65"/>
      <c r="E58" s="41"/>
      <c r="F58" s="65"/>
      <c r="G58" s="41"/>
      <c r="H58" s="46" t="str">
        <f>IF(OR(ISBLANK(D58),ISBLANK(F58)),"",F58-D58)</f>
        <v/>
      </c>
      <c r="I58" s="47" t="e">
        <f>IF(ISBLANK(H58),"",H58/(MINUTE(TEXT(G58-E58,"h:mm"))))</f>
        <v>#VALUE!</v>
      </c>
      <c r="J58" s="84"/>
      <c r="K58" s="35"/>
    </row>
    <row r="59" spans="1:11" s="17" customFormat="1" ht="14.25" customHeight="1" thickBot="1" x14ac:dyDescent="0.25">
      <c r="A59" s="74"/>
      <c r="B59" s="183" t="s">
        <v>161</v>
      </c>
      <c r="C59" s="184"/>
      <c r="D59" s="185"/>
      <c r="E59" s="186"/>
      <c r="F59" s="196" t="e">
        <f>IF(OR(I58&gt;0.002,I58&lt;-0.01),"Yes","No")</f>
        <v>#VALUE!</v>
      </c>
      <c r="G59" s="197"/>
      <c r="H59" s="317"/>
      <c r="I59" s="318"/>
      <c r="J59" s="85"/>
      <c r="K59" s="35"/>
    </row>
    <row r="60" spans="1:11" s="10" customFormat="1" ht="12.95" customHeight="1" thickBot="1" x14ac:dyDescent="0.25">
      <c r="A60" s="74"/>
      <c r="B60" s="191" t="s">
        <v>154</v>
      </c>
      <c r="C60" s="192"/>
      <c r="D60" s="193"/>
      <c r="E60" s="194"/>
      <c r="F60" s="195" t="s">
        <v>155</v>
      </c>
      <c r="G60" s="192"/>
      <c r="H60" s="179" t="str">
        <f>IF(ISBLANK(D60),"N/A",ABS(H23-D60))</f>
        <v>N/A</v>
      </c>
      <c r="I60" s="180"/>
      <c r="J60" s="81"/>
      <c r="K60" s="35"/>
    </row>
    <row r="61" spans="1:11" s="10" customFormat="1" ht="13.5" thickBot="1" x14ac:dyDescent="0.25">
      <c r="A61" s="205"/>
      <c r="B61" s="206"/>
      <c r="C61" s="206"/>
      <c r="D61" s="206"/>
      <c r="E61" s="206"/>
      <c r="F61" s="206"/>
      <c r="G61" s="206"/>
      <c r="H61" s="206"/>
      <c r="I61" s="206"/>
      <c r="J61" s="207"/>
      <c r="K61" s="35"/>
    </row>
    <row r="62" spans="1:11" s="10" customFormat="1" ht="24.75" customHeight="1" thickBot="1" x14ac:dyDescent="0.25">
      <c r="A62" s="74"/>
      <c r="B62" s="18"/>
      <c r="C62" s="176" t="s">
        <v>55</v>
      </c>
      <c r="D62" s="177"/>
      <c r="E62" s="177"/>
      <c r="F62" s="177"/>
      <c r="G62" s="178"/>
      <c r="H62" s="355" t="s">
        <v>132</v>
      </c>
      <c r="I62" s="201"/>
      <c r="J62" s="71"/>
      <c r="K62" s="35"/>
    </row>
    <row r="63" spans="1:11" s="17" customFormat="1" ht="13.5" thickBot="1" x14ac:dyDescent="0.25">
      <c r="A63" s="70"/>
      <c r="B63" s="216" t="s">
        <v>156</v>
      </c>
      <c r="C63" s="217"/>
      <c r="D63" s="218"/>
      <c r="E63" s="141" t="s">
        <v>23</v>
      </c>
      <c r="F63" s="19" t="s">
        <v>9</v>
      </c>
      <c r="G63" s="142" t="s">
        <v>24</v>
      </c>
      <c r="H63" s="222" t="s">
        <v>9</v>
      </c>
      <c r="I63" s="223"/>
      <c r="J63" s="79"/>
      <c r="K63" s="34"/>
    </row>
    <row r="64" spans="1:11" s="10" customFormat="1" ht="13.5" thickBot="1" x14ac:dyDescent="0.25">
      <c r="A64" s="205"/>
      <c r="B64" s="206"/>
      <c r="C64" s="206"/>
      <c r="D64" s="206"/>
      <c r="E64" s="206"/>
      <c r="F64" s="206"/>
      <c r="G64" s="206"/>
      <c r="H64" s="206"/>
      <c r="I64" s="206"/>
      <c r="J64" s="207"/>
      <c r="K64" s="35"/>
    </row>
    <row r="65" spans="1:11" s="10" customFormat="1" ht="12.95" customHeight="1" thickBot="1" x14ac:dyDescent="0.25">
      <c r="A65" s="74"/>
      <c r="B65" s="216" t="s">
        <v>136</v>
      </c>
      <c r="C65" s="217"/>
      <c r="D65" s="217"/>
      <c r="E65" s="217"/>
      <c r="F65" s="217"/>
      <c r="G65" s="217"/>
      <c r="H65" s="217"/>
      <c r="I65" s="218"/>
      <c r="J65" s="81"/>
      <c r="K65" s="35"/>
    </row>
    <row r="66" spans="1:11" s="10" customFormat="1" ht="12.95" customHeight="1" x14ac:dyDescent="0.2">
      <c r="A66" s="74"/>
      <c r="B66" s="143" t="s">
        <v>33</v>
      </c>
      <c r="C66" s="20" t="s">
        <v>9</v>
      </c>
      <c r="D66" s="146" t="s">
        <v>36</v>
      </c>
      <c r="E66" s="21" t="s">
        <v>9</v>
      </c>
      <c r="F66" s="146" t="s">
        <v>38</v>
      </c>
      <c r="G66" s="20" t="s">
        <v>9</v>
      </c>
      <c r="H66" s="146" t="s">
        <v>40</v>
      </c>
      <c r="I66" s="22" t="s">
        <v>9</v>
      </c>
      <c r="J66" s="79"/>
      <c r="K66" s="35"/>
    </row>
    <row r="67" spans="1:11" s="10" customFormat="1" ht="12.95" customHeight="1" x14ac:dyDescent="0.2">
      <c r="A67" s="74"/>
      <c r="B67" s="144" t="s">
        <v>32</v>
      </c>
      <c r="C67" s="23" t="s">
        <v>9</v>
      </c>
      <c r="D67" s="147" t="s">
        <v>48</v>
      </c>
      <c r="E67" s="13" t="s">
        <v>9</v>
      </c>
      <c r="F67" s="147" t="s">
        <v>39</v>
      </c>
      <c r="G67" s="23" t="s">
        <v>9</v>
      </c>
      <c r="H67" s="147" t="s">
        <v>31</v>
      </c>
      <c r="I67" s="24" t="s">
        <v>9</v>
      </c>
      <c r="J67" s="79"/>
      <c r="K67" s="35"/>
    </row>
    <row r="68" spans="1:11" s="10" customFormat="1" ht="12.95" customHeight="1" x14ac:dyDescent="0.2">
      <c r="A68" s="74"/>
      <c r="B68" s="144" t="s">
        <v>34</v>
      </c>
      <c r="C68" s="23" t="s">
        <v>9</v>
      </c>
      <c r="D68" s="147" t="s">
        <v>37</v>
      </c>
      <c r="E68" s="13" t="s">
        <v>9</v>
      </c>
      <c r="F68" s="147" t="s">
        <v>61</v>
      </c>
      <c r="G68" s="23" t="s">
        <v>9</v>
      </c>
      <c r="H68" s="147" t="s">
        <v>41</v>
      </c>
      <c r="I68" s="24" t="s">
        <v>9</v>
      </c>
      <c r="J68" s="79"/>
      <c r="K68" s="35"/>
    </row>
    <row r="69" spans="1:11" s="10" customFormat="1" ht="12.95" customHeight="1" thickBot="1" x14ac:dyDescent="0.25">
      <c r="A69" s="74"/>
      <c r="B69" s="144" t="s">
        <v>35</v>
      </c>
      <c r="C69" s="23" t="s">
        <v>9</v>
      </c>
      <c r="D69" s="147" t="s">
        <v>49</v>
      </c>
      <c r="E69" s="13" t="s">
        <v>9</v>
      </c>
      <c r="F69" s="149" t="s">
        <v>50</v>
      </c>
      <c r="G69" s="43" t="s">
        <v>9</v>
      </c>
      <c r="H69" s="151" t="s">
        <v>51</v>
      </c>
      <c r="I69" s="25" t="s">
        <v>9</v>
      </c>
      <c r="J69" s="79"/>
      <c r="K69" s="35"/>
    </row>
    <row r="70" spans="1:11" s="10" customFormat="1" ht="12.95" customHeight="1" thickBot="1" x14ac:dyDescent="0.25">
      <c r="A70" s="74"/>
      <c r="B70" s="145" t="s">
        <v>130</v>
      </c>
      <c r="C70" s="26" t="s">
        <v>9</v>
      </c>
      <c r="D70" s="148" t="s">
        <v>131</v>
      </c>
      <c r="E70" s="27" t="s">
        <v>9</v>
      </c>
      <c r="F70" s="150" t="s">
        <v>62</v>
      </c>
      <c r="G70" s="25" t="s">
        <v>9</v>
      </c>
      <c r="H70" s="345"/>
      <c r="I70" s="346"/>
      <c r="J70" s="347"/>
      <c r="K70" s="35"/>
    </row>
    <row r="71" spans="1:11" s="10" customFormat="1" ht="13.5" thickBot="1" x14ac:dyDescent="0.25">
      <c r="A71" s="205"/>
      <c r="B71" s="206"/>
      <c r="C71" s="206"/>
      <c r="D71" s="206"/>
      <c r="E71" s="206"/>
      <c r="F71" s="206"/>
      <c r="G71" s="206"/>
      <c r="H71" s="206"/>
      <c r="I71" s="206"/>
      <c r="J71" s="207"/>
      <c r="K71" s="35"/>
    </row>
    <row r="72" spans="1:11" s="10" customFormat="1" ht="12.95" customHeight="1" thickBot="1" x14ac:dyDescent="0.25">
      <c r="A72" s="74"/>
      <c r="B72" s="213" t="s">
        <v>126</v>
      </c>
      <c r="C72" s="214"/>
      <c r="D72" s="214"/>
      <c r="E72" s="214"/>
      <c r="F72" s="214"/>
      <c r="G72" s="214"/>
      <c r="H72" s="214"/>
      <c r="I72" s="215"/>
      <c r="J72" s="81"/>
      <c r="K72" s="35"/>
    </row>
    <row r="73" spans="1:11" s="10" customFormat="1" ht="12.95" customHeight="1" x14ac:dyDescent="0.2">
      <c r="A73" s="74"/>
      <c r="B73" s="152" t="s">
        <v>33</v>
      </c>
      <c r="C73" s="153" t="s">
        <v>32</v>
      </c>
      <c r="D73" s="153" t="s">
        <v>34</v>
      </c>
      <c r="E73" s="153" t="s">
        <v>35</v>
      </c>
      <c r="F73" s="153" t="s">
        <v>36</v>
      </c>
      <c r="G73" s="153" t="s">
        <v>37</v>
      </c>
      <c r="H73" s="348" t="s">
        <v>121</v>
      </c>
      <c r="I73" s="349"/>
      <c r="J73" s="81"/>
      <c r="K73" s="35"/>
    </row>
    <row r="74" spans="1:11" s="10" customFormat="1" ht="12.95" customHeight="1" thickBot="1" x14ac:dyDescent="0.25">
      <c r="A74" s="74"/>
      <c r="B74" s="28" t="s">
        <v>132</v>
      </c>
      <c r="C74" s="49" t="s">
        <v>132</v>
      </c>
      <c r="D74" s="49" t="s">
        <v>132</v>
      </c>
      <c r="E74" s="49" t="s">
        <v>132</v>
      </c>
      <c r="F74" s="49" t="s">
        <v>132</v>
      </c>
      <c r="G74" s="49" t="s">
        <v>132</v>
      </c>
      <c r="H74" s="211" t="s">
        <v>132</v>
      </c>
      <c r="I74" s="212"/>
      <c r="J74" s="81"/>
      <c r="K74" s="35"/>
    </row>
    <row r="75" spans="1:11" s="10" customFormat="1" ht="13.5" thickBot="1" x14ac:dyDescent="0.25">
      <c r="A75" s="74"/>
      <c r="B75" s="14"/>
      <c r="C75" s="14"/>
      <c r="D75" s="14"/>
      <c r="E75" s="14"/>
      <c r="F75" s="14"/>
      <c r="G75" s="14"/>
      <c r="H75" s="14"/>
      <c r="I75" s="14"/>
      <c r="J75" s="79"/>
      <c r="K75" s="35"/>
    </row>
    <row r="76" spans="1:11" s="10" customFormat="1" ht="15.75" thickBot="1" x14ac:dyDescent="0.25">
      <c r="A76" s="74"/>
      <c r="B76" s="219" t="s">
        <v>43</v>
      </c>
      <c r="C76" s="219"/>
      <c r="D76" s="305" t="s">
        <v>9</v>
      </c>
      <c r="E76" s="305"/>
      <c r="F76" s="305"/>
      <c r="G76" s="12"/>
      <c r="H76" s="198" t="s">
        <v>166</v>
      </c>
      <c r="I76" s="199"/>
      <c r="J76" s="79"/>
      <c r="K76" s="35"/>
    </row>
    <row r="77" spans="1:11" s="10" customFormat="1" ht="13.5" thickBot="1" x14ac:dyDescent="0.25">
      <c r="A77" s="74"/>
      <c r="B77" s="219" t="s">
        <v>44</v>
      </c>
      <c r="C77" s="219"/>
      <c r="D77" s="220" t="s">
        <v>9</v>
      </c>
      <c r="E77" s="221"/>
      <c r="F77" s="221"/>
      <c r="G77" s="12"/>
      <c r="H77" s="200" t="s">
        <v>167</v>
      </c>
      <c r="I77" s="201"/>
      <c r="J77" s="79"/>
      <c r="K77" s="35"/>
    </row>
    <row r="78" spans="1:11" s="10" customFormat="1" ht="13.5" thickBot="1" x14ac:dyDescent="0.25">
      <c r="A78" s="74"/>
      <c r="B78" s="14"/>
      <c r="C78" s="14"/>
      <c r="D78" s="12"/>
      <c r="E78" s="12"/>
      <c r="F78" s="12"/>
      <c r="G78" s="12"/>
      <c r="H78" s="12"/>
      <c r="I78" s="14"/>
      <c r="J78" s="79"/>
      <c r="K78" s="63"/>
    </row>
    <row r="79" spans="1:11" s="10" customFormat="1" ht="18.75" customHeight="1" thickBot="1" x14ac:dyDescent="0.25">
      <c r="A79" s="74"/>
      <c r="B79" s="202" t="s">
        <v>176</v>
      </c>
      <c r="C79" s="203"/>
      <c r="D79" s="203"/>
      <c r="E79" s="203"/>
      <c r="F79" s="203"/>
      <c r="G79" s="203"/>
      <c r="H79" s="203"/>
      <c r="I79" s="204"/>
      <c r="J79" s="79"/>
      <c r="K79" s="35"/>
    </row>
    <row r="80" spans="1:11" s="10" customFormat="1" ht="18.75" customHeight="1" x14ac:dyDescent="0.2">
      <c r="A80" s="74"/>
      <c r="B80" s="208" t="s">
        <v>165</v>
      </c>
      <c r="C80" s="209"/>
      <c r="D80" s="209"/>
      <c r="E80" s="209"/>
      <c r="F80" s="209"/>
      <c r="G80" s="209"/>
      <c r="H80" s="209"/>
      <c r="I80" s="210"/>
      <c r="J80" s="86"/>
      <c r="K80" s="35"/>
    </row>
    <row r="81" spans="1:11" s="10" customFormat="1" ht="18.75" customHeight="1" thickBot="1" x14ac:dyDescent="0.25">
      <c r="A81" s="74"/>
      <c r="B81" s="171" t="s">
        <v>165</v>
      </c>
      <c r="C81" s="172"/>
      <c r="D81" s="172"/>
      <c r="E81" s="172"/>
      <c r="F81" s="172"/>
      <c r="G81" s="172"/>
      <c r="H81" s="172"/>
      <c r="I81" s="173"/>
      <c r="J81" s="87"/>
      <c r="K81" s="35"/>
    </row>
    <row r="82" spans="1:11" s="10" customFormat="1" ht="18.75" customHeight="1" thickBot="1" x14ac:dyDescent="0.25">
      <c r="A82" s="74"/>
      <c r="B82" s="202" t="s">
        <v>177</v>
      </c>
      <c r="C82" s="203"/>
      <c r="D82" s="203"/>
      <c r="E82" s="203"/>
      <c r="F82" s="203"/>
      <c r="G82" s="203"/>
      <c r="H82" s="203"/>
      <c r="I82" s="204"/>
      <c r="J82" s="88"/>
      <c r="K82" s="35"/>
    </row>
    <row r="83" spans="1:11" s="10" customFormat="1" ht="18.75" customHeight="1" thickBot="1" x14ac:dyDescent="0.25">
      <c r="A83" s="74"/>
      <c r="B83" s="332" t="s">
        <v>165</v>
      </c>
      <c r="C83" s="333"/>
      <c r="D83" s="333"/>
      <c r="E83" s="333"/>
      <c r="F83" s="333"/>
      <c r="G83" s="333"/>
      <c r="H83" s="333"/>
      <c r="I83" s="334"/>
      <c r="J83" s="86" t="s">
        <v>170</v>
      </c>
      <c r="K83" s="35"/>
    </row>
    <row r="84" spans="1:11" s="10" customFormat="1" ht="13.5" thickBot="1" x14ac:dyDescent="0.25">
      <c r="A84" s="74"/>
      <c r="B84" s="94"/>
      <c r="C84" s="94"/>
      <c r="D84" s="94"/>
      <c r="E84" s="94"/>
      <c r="F84" s="94"/>
      <c r="G84" s="94"/>
      <c r="H84" s="94"/>
      <c r="I84" s="94"/>
      <c r="J84" s="79"/>
      <c r="K84" s="35"/>
    </row>
    <row r="85" spans="1:11" s="10" customFormat="1" ht="13.5" thickBot="1" x14ac:dyDescent="0.25">
      <c r="A85" s="74"/>
      <c r="B85" s="325" t="s">
        <v>133</v>
      </c>
      <c r="C85" s="326"/>
      <c r="D85" s="326"/>
      <c r="E85" s="326"/>
      <c r="F85" s="326"/>
      <c r="G85" s="326"/>
      <c r="H85" s="326"/>
      <c r="I85" s="327"/>
      <c r="J85" s="81"/>
      <c r="K85" s="35"/>
    </row>
    <row r="86" spans="1:11" s="10" customFormat="1" ht="13.5" thickBot="1" x14ac:dyDescent="0.25">
      <c r="A86" s="74"/>
      <c r="B86" s="95"/>
      <c r="C86" s="96" t="s">
        <v>68</v>
      </c>
      <c r="D86" s="97" t="s">
        <v>9</v>
      </c>
      <c r="E86" s="95" t="s">
        <v>9</v>
      </c>
      <c r="F86" s="95"/>
      <c r="G86" s="96" t="s">
        <v>69</v>
      </c>
      <c r="H86" s="97" t="s">
        <v>9</v>
      </c>
      <c r="I86" s="95"/>
      <c r="J86" s="89"/>
      <c r="K86" s="35"/>
    </row>
    <row r="87" spans="1:11" s="10" customFormat="1" ht="23.1" customHeight="1" thickTop="1" thickBot="1" x14ac:dyDescent="0.25">
      <c r="A87" s="74"/>
      <c r="B87" s="98" t="s">
        <v>70</v>
      </c>
      <c r="C87" s="99" t="s">
        <v>71</v>
      </c>
      <c r="D87" s="100" t="s">
        <v>72</v>
      </c>
      <c r="E87" s="101"/>
      <c r="F87" s="98" t="s">
        <v>73</v>
      </c>
      <c r="G87" s="99" t="s">
        <v>74</v>
      </c>
      <c r="H87" s="100" t="s">
        <v>72</v>
      </c>
      <c r="I87" s="102"/>
      <c r="J87" s="78"/>
      <c r="K87" s="35"/>
    </row>
    <row r="88" spans="1:11" s="10" customFormat="1" ht="23.1" customHeight="1" thickTop="1" x14ac:dyDescent="0.2">
      <c r="A88" s="74"/>
      <c r="B88" s="103" t="s">
        <v>75</v>
      </c>
      <c r="C88" s="104">
        <v>369.2</v>
      </c>
      <c r="D88" s="105" t="s">
        <v>76</v>
      </c>
      <c r="E88" s="101"/>
      <c r="F88" s="103" t="s">
        <v>77</v>
      </c>
      <c r="G88" s="104">
        <v>12</v>
      </c>
      <c r="H88" s="105" t="s">
        <v>110</v>
      </c>
      <c r="I88" s="102"/>
      <c r="J88" s="78"/>
      <c r="K88" s="35"/>
    </row>
    <row r="89" spans="1:11" s="10" customFormat="1" ht="23.1" customHeight="1" x14ac:dyDescent="0.2">
      <c r="A89" s="74"/>
      <c r="B89" s="106" t="s">
        <v>78</v>
      </c>
      <c r="C89" s="107">
        <v>184.6</v>
      </c>
      <c r="D89" s="108" t="s">
        <v>79</v>
      </c>
      <c r="E89" s="101"/>
      <c r="F89" s="106" t="s">
        <v>99</v>
      </c>
      <c r="G89" s="107">
        <v>17</v>
      </c>
      <c r="H89" s="108" t="s">
        <v>100</v>
      </c>
      <c r="I89" s="102"/>
      <c r="J89" s="78"/>
      <c r="K89" s="35"/>
    </row>
    <row r="90" spans="1:11" s="10" customFormat="1" ht="23.1" customHeight="1" x14ac:dyDescent="0.2">
      <c r="A90" s="74"/>
      <c r="B90" s="106" t="s">
        <v>80</v>
      </c>
      <c r="C90" s="107">
        <v>123.1</v>
      </c>
      <c r="D90" s="108" t="s">
        <v>81</v>
      </c>
      <c r="E90" s="101"/>
      <c r="F90" s="106" t="s">
        <v>101</v>
      </c>
      <c r="G90" s="107">
        <v>14</v>
      </c>
      <c r="H90" s="108" t="s">
        <v>111</v>
      </c>
      <c r="I90" s="102"/>
      <c r="J90" s="78"/>
      <c r="K90" s="35"/>
    </row>
    <row r="91" spans="1:11" s="10" customFormat="1" ht="23.1" customHeight="1" x14ac:dyDescent="0.2">
      <c r="A91" s="74"/>
      <c r="B91" s="106" t="s">
        <v>82</v>
      </c>
      <c r="C91" s="107">
        <v>92.3</v>
      </c>
      <c r="D91" s="108" t="s">
        <v>83</v>
      </c>
      <c r="E91" s="101"/>
      <c r="F91" s="106" t="s">
        <v>99</v>
      </c>
      <c r="G91" s="107">
        <v>17</v>
      </c>
      <c r="H91" s="108" t="s">
        <v>100</v>
      </c>
      <c r="I91" s="102"/>
      <c r="J91" s="78"/>
      <c r="K91" s="35"/>
    </row>
    <row r="92" spans="1:11" s="29" customFormat="1" ht="23.1" customHeight="1" thickBot="1" x14ac:dyDescent="0.25">
      <c r="A92" s="76"/>
      <c r="B92" s="106" t="s">
        <v>84</v>
      </c>
      <c r="C92" s="107">
        <v>184.6</v>
      </c>
      <c r="D92" s="108" t="s">
        <v>79</v>
      </c>
      <c r="E92" s="101"/>
      <c r="F92" s="109" t="s">
        <v>101</v>
      </c>
      <c r="G92" s="110">
        <v>14</v>
      </c>
      <c r="H92" s="111" t="s">
        <v>111</v>
      </c>
      <c r="I92" s="112"/>
      <c r="J92" s="78"/>
      <c r="K92" s="37"/>
    </row>
    <row r="93" spans="1:11" ht="23.1" customHeight="1" thickTop="1" x14ac:dyDescent="0.2">
      <c r="A93" s="70"/>
      <c r="B93" s="106" t="s">
        <v>85</v>
      </c>
      <c r="C93" s="107">
        <v>123.1</v>
      </c>
      <c r="D93" s="108" t="s">
        <v>81</v>
      </c>
      <c r="E93" s="101"/>
      <c r="F93" s="101"/>
      <c r="G93" s="101"/>
      <c r="H93" s="113"/>
      <c r="I93" s="102"/>
      <c r="J93" s="78"/>
      <c r="K93" s="34"/>
    </row>
    <row r="94" spans="1:11" ht="23.1" customHeight="1" thickBot="1" x14ac:dyDescent="0.25">
      <c r="A94" s="70"/>
      <c r="B94" s="106" t="s">
        <v>86</v>
      </c>
      <c r="C94" s="107">
        <v>92.3</v>
      </c>
      <c r="D94" s="108" t="s">
        <v>87</v>
      </c>
      <c r="E94" s="101"/>
      <c r="F94" s="114"/>
      <c r="G94" s="115" t="s">
        <v>112</v>
      </c>
      <c r="H94" s="114"/>
      <c r="I94" s="114"/>
      <c r="J94" s="90"/>
      <c r="K94" s="34"/>
    </row>
    <row r="95" spans="1:11" ht="23.1" customHeight="1" thickTop="1" thickBot="1" x14ac:dyDescent="0.25">
      <c r="A95" s="70"/>
      <c r="B95" s="106" t="s">
        <v>88</v>
      </c>
      <c r="C95" s="107">
        <v>73.8</v>
      </c>
      <c r="D95" s="108" t="s">
        <v>89</v>
      </c>
      <c r="E95" s="116"/>
      <c r="F95" s="98" t="s">
        <v>113</v>
      </c>
      <c r="G95" s="99" t="s">
        <v>114</v>
      </c>
      <c r="H95" s="99" t="s">
        <v>115</v>
      </c>
      <c r="I95" s="100" t="s">
        <v>72</v>
      </c>
      <c r="J95" s="91"/>
      <c r="K95" s="34"/>
    </row>
    <row r="96" spans="1:11" ht="23.1" customHeight="1" thickTop="1" x14ac:dyDescent="0.2">
      <c r="A96" s="70"/>
      <c r="B96" s="106" t="s">
        <v>90</v>
      </c>
      <c r="C96" s="107">
        <v>73.8</v>
      </c>
      <c r="D96" s="108" t="s">
        <v>91</v>
      </c>
      <c r="E96" s="116"/>
      <c r="F96" s="117" t="s">
        <v>105</v>
      </c>
      <c r="G96" s="104" t="s">
        <v>106</v>
      </c>
      <c r="H96" s="104">
        <v>6</v>
      </c>
      <c r="I96" s="105" t="s">
        <v>116</v>
      </c>
      <c r="J96" s="92"/>
      <c r="K96" s="34"/>
    </row>
    <row r="97" spans="1:11" ht="23.1" customHeight="1" x14ac:dyDescent="0.2">
      <c r="A97" s="70"/>
      <c r="B97" s="106" t="s">
        <v>92</v>
      </c>
      <c r="C97" s="107">
        <v>61.5</v>
      </c>
      <c r="D97" s="108" t="s">
        <v>93</v>
      </c>
      <c r="E97" s="116"/>
      <c r="F97" s="118" t="s">
        <v>107</v>
      </c>
      <c r="G97" s="107" t="s">
        <v>108</v>
      </c>
      <c r="H97" s="107">
        <v>24</v>
      </c>
      <c r="I97" s="108" t="s">
        <v>117</v>
      </c>
      <c r="J97" s="92"/>
      <c r="K97" s="34"/>
    </row>
    <row r="98" spans="1:11" ht="23.1" customHeight="1" thickBot="1" x14ac:dyDescent="0.25">
      <c r="A98" s="70"/>
      <c r="B98" s="106" t="s">
        <v>94</v>
      </c>
      <c r="C98" s="107">
        <v>61.5</v>
      </c>
      <c r="D98" s="108" t="s">
        <v>93</v>
      </c>
      <c r="E98" s="116"/>
      <c r="F98" s="109" t="s">
        <v>109</v>
      </c>
      <c r="G98" s="110" t="s">
        <v>108</v>
      </c>
      <c r="H98" s="110">
        <v>12</v>
      </c>
      <c r="I98" s="119" t="s">
        <v>110</v>
      </c>
      <c r="J98" s="92"/>
      <c r="K98" s="34"/>
    </row>
    <row r="99" spans="1:11" ht="23.1" customHeight="1" thickTop="1" x14ac:dyDescent="0.2">
      <c r="A99" s="70"/>
      <c r="B99" s="106" t="s">
        <v>95</v>
      </c>
      <c r="C99" s="107">
        <v>52.7</v>
      </c>
      <c r="D99" s="108" t="s">
        <v>96</v>
      </c>
      <c r="E99" s="101"/>
      <c r="F99" s="101"/>
      <c r="G99" s="101"/>
      <c r="H99" s="101"/>
      <c r="I99" s="102"/>
      <c r="J99" s="78"/>
      <c r="K99" s="34"/>
    </row>
    <row r="100" spans="1:11" ht="23.1" customHeight="1" thickBot="1" x14ac:dyDescent="0.25">
      <c r="A100" s="70"/>
      <c r="B100" s="109" t="s">
        <v>97</v>
      </c>
      <c r="C100" s="110">
        <v>46.2</v>
      </c>
      <c r="D100" s="119" t="s">
        <v>98</v>
      </c>
      <c r="E100" s="101"/>
      <c r="F100" s="101"/>
      <c r="G100" s="101"/>
      <c r="H100" s="101"/>
      <c r="I100" s="102"/>
      <c r="J100" s="78"/>
      <c r="K100" s="32"/>
    </row>
    <row r="101" spans="1:11" s="30" customFormat="1" ht="14.25" thickTop="1" thickBot="1" x14ac:dyDescent="0.25">
      <c r="A101" s="77"/>
      <c r="B101" s="120"/>
      <c r="C101" s="120"/>
      <c r="D101" s="120"/>
      <c r="E101" s="120"/>
      <c r="F101" s="120"/>
      <c r="G101" s="120"/>
      <c r="H101" s="120"/>
      <c r="I101" s="121"/>
      <c r="J101" s="93"/>
      <c r="K101" s="32"/>
    </row>
    <row r="102" spans="1:11" s="30" customFormat="1" ht="12.75" hidden="1" customHeight="1" x14ac:dyDescent="0.2">
      <c r="K102" s="32"/>
    </row>
    <row r="103" spans="1:11" s="30" customFormat="1" ht="12.75" hidden="1" customHeight="1" x14ac:dyDescent="0.2">
      <c r="K103" s="32"/>
    </row>
    <row r="104" spans="1:11" s="30" customFormat="1" ht="12.75" hidden="1" customHeight="1" x14ac:dyDescent="0.2"/>
    <row r="105" spans="1:11" s="30" customFormat="1" ht="12.75" hidden="1" customHeight="1" x14ac:dyDescent="0.2"/>
    <row r="106" spans="1:11" s="30" customFormat="1" ht="12.75" hidden="1" customHeight="1" x14ac:dyDescent="0.2"/>
    <row r="107" spans="1:11" s="30" customFormat="1" ht="12.75" hidden="1" customHeight="1" x14ac:dyDescent="0.2">
      <c r="B107" s="30" t="s">
        <v>169</v>
      </c>
    </row>
    <row r="108" spans="1:11" s="30" customFormat="1" ht="12.75" hidden="1" customHeight="1" x14ac:dyDescent="0.2">
      <c r="B108" s="64" t="s">
        <v>167</v>
      </c>
    </row>
    <row r="109" spans="1:11" s="30" customFormat="1" ht="12.75" hidden="1" customHeight="1" x14ac:dyDescent="0.2">
      <c r="B109" s="64" t="s">
        <v>168</v>
      </c>
    </row>
    <row r="110" spans="1:11" s="30" customFormat="1" ht="12.75" hidden="1" customHeight="1" x14ac:dyDescent="0.2"/>
    <row r="111" spans="1:11" s="30" customFormat="1" ht="12.75" hidden="1" customHeight="1" x14ac:dyDescent="0.2"/>
    <row r="112" spans="1:11" s="30" customFormat="1" ht="12.75" hidden="1" customHeight="1" x14ac:dyDescent="0.2"/>
    <row r="113" s="30" customFormat="1" ht="12.75" hidden="1" customHeight="1" x14ac:dyDescent="0.2"/>
    <row r="114" s="30" customFormat="1" ht="12.75" hidden="1" customHeight="1" x14ac:dyDescent="0.2"/>
    <row r="115" s="30" customFormat="1" ht="12.75" hidden="1" customHeight="1" x14ac:dyDescent="0.2"/>
    <row r="116" s="30" customFormat="1" ht="12.75" hidden="1" customHeight="1" x14ac:dyDescent="0.2"/>
    <row r="117" s="30" customFormat="1" ht="12.75" hidden="1" customHeight="1" x14ac:dyDescent="0.2"/>
    <row r="118" s="30" customFormat="1" ht="12.75" hidden="1" customHeight="1" x14ac:dyDescent="0.2"/>
    <row r="119" s="30" customFormat="1" ht="12.75" hidden="1" customHeight="1" x14ac:dyDescent="0.2"/>
    <row r="120" s="30" customFormat="1" hidden="1" x14ac:dyDescent="0.2"/>
    <row r="121" s="30" customFormat="1" hidden="1" x14ac:dyDescent="0.2"/>
    <row r="122" s="30" customFormat="1" hidden="1" x14ac:dyDescent="0.2"/>
    <row r="123" s="30" customFormat="1" hidden="1" x14ac:dyDescent="0.2"/>
    <row r="124" s="30" customFormat="1" hidden="1" x14ac:dyDescent="0.2"/>
    <row r="125" s="30" customFormat="1" hidden="1" x14ac:dyDescent="0.2"/>
    <row r="126" s="30" customFormat="1" hidden="1" x14ac:dyDescent="0.2"/>
    <row r="127" s="30" customFormat="1" hidden="1" x14ac:dyDescent="0.2"/>
    <row r="128" s="30" customFormat="1" hidden="1" x14ac:dyDescent="0.2"/>
    <row r="129" s="30" customFormat="1" hidden="1" x14ac:dyDescent="0.2"/>
    <row r="130" s="30" customFormat="1" hidden="1" x14ac:dyDescent="0.2"/>
    <row r="131" s="30" customFormat="1" hidden="1" x14ac:dyDescent="0.2"/>
    <row r="132" s="30" customFormat="1" hidden="1" x14ac:dyDescent="0.2"/>
    <row r="133" s="30" customFormat="1" hidden="1" x14ac:dyDescent="0.2"/>
    <row r="134" s="30" customFormat="1" hidden="1" x14ac:dyDescent="0.2"/>
    <row r="135" s="30" customFormat="1" hidden="1" x14ac:dyDescent="0.2"/>
    <row r="136" s="30" customFormat="1" hidden="1" x14ac:dyDescent="0.2"/>
    <row r="137" s="30" customFormat="1" hidden="1" x14ac:dyDescent="0.2"/>
    <row r="138" s="30" customFormat="1" hidden="1" x14ac:dyDescent="0.2"/>
    <row r="139" s="30" customFormat="1" hidden="1" x14ac:dyDescent="0.2"/>
    <row r="140" s="30" customFormat="1" hidden="1" x14ac:dyDescent="0.2"/>
    <row r="141" s="30" customFormat="1" hidden="1" x14ac:dyDescent="0.2"/>
    <row r="142" s="30" customFormat="1" hidden="1" x14ac:dyDescent="0.2"/>
    <row r="143" s="30" customFormat="1" hidden="1" x14ac:dyDescent="0.2"/>
    <row r="144" s="30" customFormat="1" hidden="1" x14ac:dyDescent="0.2"/>
    <row r="145" s="30" customFormat="1" hidden="1" x14ac:dyDescent="0.2"/>
    <row r="146" s="30" customFormat="1" hidden="1" x14ac:dyDescent="0.2"/>
    <row r="147" s="30" customFormat="1" hidden="1" x14ac:dyDescent="0.2"/>
    <row r="148" s="30" customFormat="1" hidden="1" x14ac:dyDescent="0.2"/>
    <row r="149" s="30" customFormat="1" hidden="1" x14ac:dyDescent="0.2"/>
    <row r="150" s="30" customFormat="1" hidden="1" x14ac:dyDescent="0.2"/>
    <row r="151" s="30" customFormat="1" hidden="1" x14ac:dyDescent="0.2"/>
    <row r="152" s="30" customFormat="1" hidden="1" x14ac:dyDescent="0.2"/>
    <row r="153" s="30" customFormat="1" hidden="1" x14ac:dyDescent="0.2"/>
    <row r="154" s="30" customFormat="1" hidden="1" x14ac:dyDescent="0.2"/>
    <row r="155" s="30" customFormat="1" hidden="1" x14ac:dyDescent="0.2"/>
    <row r="156" s="30" customFormat="1" hidden="1" x14ac:dyDescent="0.2"/>
    <row r="157" s="30" customFormat="1" hidden="1" x14ac:dyDescent="0.2"/>
    <row r="158" s="30" customFormat="1" hidden="1" x14ac:dyDescent="0.2"/>
    <row r="159" s="30" customFormat="1" hidden="1" x14ac:dyDescent="0.2"/>
    <row r="160" s="30" customFormat="1" hidden="1" x14ac:dyDescent="0.2"/>
    <row r="161" s="30" customFormat="1" hidden="1" x14ac:dyDescent="0.2"/>
    <row r="162" s="30" customFormat="1" hidden="1" x14ac:dyDescent="0.2"/>
    <row r="163" s="30" customFormat="1" hidden="1" x14ac:dyDescent="0.2"/>
    <row r="164" s="30" customFormat="1" hidden="1" x14ac:dyDescent="0.2"/>
    <row r="165" s="30" customFormat="1" hidden="1" x14ac:dyDescent="0.2"/>
    <row r="166" s="30" customFormat="1" hidden="1" x14ac:dyDescent="0.2"/>
    <row r="167" s="30" customFormat="1" hidden="1" x14ac:dyDescent="0.2"/>
    <row r="168" s="30" customFormat="1" hidden="1" x14ac:dyDescent="0.2"/>
    <row r="169" s="30" customFormat="1" hidden="1" x14ac:dyDescent="0.2"/>
    <row r="170" s="30" customFormat="1" hidden="1" x14ac:dyDescent="0.2"/>
    <row r="171" s="30" customFormat="1" hidden="1" x14ac:dyDescent="0.2"/>
    <row r="172" s="30" customFormat="1" hidden="1" x14ac:dyDescent="0.2"/>
    <row r="173" s="30" customFormat="1" hidden="1" x14ac:dyDescent="0.2"/>
    <row r="174" s="30" customFormat="1" hidden="1" x14ac:dyDescent="0.2"/>
    <row r="175" s="30" customFormat="1" hidden="1" x14ac:dyDescent="0.2"/>
    <row r="176" s="30" customFormat="1" hidden="1" x14ac:dyDescent="0.2"/>
    <row r="177" s="30" customFormat="1" hidden="1" x14ac:dyDescent="0.2"/>
    <row r="178" s="30" customFormat="1" hidden="1" x14ac:dyDescent="0.2"/>
    <row r="179" s="30" customFormat="1" hidden="1" x14ac:dyDescent="0.2"/>
    <row r="180" s="30" customFormat="1" hidden="1" x14ac:dyDescent="0.2"/>
    <row r="181" s="30" customFormat="1" hidden="1" x14ac:dyDescent="0.2"/>
    <row r="182" s="30" customFormat="1" hidden="1" x14ac:dyDescent="0.2"/>
    <row r="183" s="30" customFormat="1" hidden="1" x14ac:dyDescent="0.2"/>
    <row r="184" s="30" customFormat="1" hidden="1" x14ac:dyDescent="0.2"/>
    <row r="185" s="30" customFormat="1" hidden="1" x14ac:dyDescent="0.2"/>
    <row r="186" s="30" customFormat="1" hidden="1" x14ac:dyDescent="0.2"/>
    <row r="187" s="30" customFormat="1" hidden="1" x14ac:dyDescent="0.2"/>
    <row r="188" s="30" customFormat="1" hidden="1" x14ac:dyDescent="0.2"/>
    <row r="189" s="30" customFormat="1" hidden="1" x14ac:dyDescent="0.2"/>
    <row r="190" s="30" customFormat="1" hidden="1" x14ac:dyDescent="0.2"/>
    <row r="191" s="30" customFormat="1" hidden="1" x14ac:dyDescent="0.2"/>
    <row r="192" s="30" customFormat="1" hidden="1" x14ac:dyDescent="0.2"/>
    <row r="193" s="30" customFormat="1" hidden="1" x14ac:dyDescent="0.2"/>
    <row r="194" s="30" customFormat="1" hidden="1" x14ac:dyDescent="0.2"/>
    <row r="195" s="30" customFormat="1" hidden="1" x14ac:dyDescent="0.2"/>
    <row r="196" s="30" customFormat="1" hidden="1" x14ac:dyDescent="0.2"/>
    <row r="197" s="30" customFormat="1" hidden="1" x14ac:dyDescent="0.2"/>
    <row r="198" s="30" customFormat="1" hidden="1" x14ac:dyDescent="0.2"/>
    <row r="199" s="30" customFormat="1" hidden="1" x14ac:dyDescent="0.2"/>
    <row r="200" s="30" customFormat="1" hidden="1" x14ac:dyDescent="0.2"/>
    <row r="201" s="30" customFormat="1" hidden="1" x14ac:dyDescent="0.2"/>
    <row r="202" s="30" customFormat="1" hidden="1" x14ac:dyDescent="0.2"/>
    <row r="203" s="30" customFormat="1" hidden="1" x14ac:dyDescent="0.2"/>
    <row r="204" s="30" customFormat="1" hidden="1" x14ac:dyDescent="0.2"/>
    <row r="205" s="30" customFormat="1" hidden="1" x14ac:dyDescent="0.2"/>
    <row r="206" s="30" customFormat="1" hidden="1" x14ac:dyDescent="0.2"/>
    <row r="207" s="30" customFormat="1" hidden="1" x14ac:dyDescent="0.2"/>
    <row r="208" s="30" customFormat="1" hidden="1" x14ac:dyDescent="0.2"/>
    <row r="209" s="30" customFormat="1" hidden="1" x14ac:dyDescent="0.2"/>
    <row r="210" s="30" customFormat="1" hidden="1" x14ac:dyDescent="0.2"/>
    <row r="211" s="30" customFormat="1" hidden="1" x14ac:dyDescent="0.2"/>
    <row r="212" s="30" customFormat="1" hidden="1" x14ac:dyDescent="0.2"/>
    <row r="213" s="30" customFormat="1" hidden="1" x14ac:dyDescent="0.2"/>
    <row r="214" s="30" customFormat="1" hidden="1" x14ac:dyDescent="0.2"/>
    <row r="215" s="30" customFormat="1" hidden="1" x14ac:dyDescent="0.2"/>
    <row r="216" s="30" customFormat="1" hidden="1" x14ac:dyDescent="0.2"/>
    <row r="217" s="30" customFormat="1" hidden="1" x14ac:dyDescent="0.2"/>
    <row r="218" s="30" customFormat="1" hidden="1" x14ac:dyDescent="0.2"/>
    <row r="219" s="30" customFormat="1" hidden="1" x14ac:dyDescent="0.2"/>
    <row r="220" s="30" customFormat="1" hidden="1" x14ac:dyDescent="0.2"/>
    <row r="221" s="30" customFormat="1" hidden="1" x14ac:dyDescent="0.2"/>
    <row r="222" s="30" customFormat="1" hidden="1" x14ac:dyDescent="0.2"/>
    <row r="223" s="30" customFormat="1" hidden="1" x14ac:dyDescent="0.2"/>
    <row r="224" s="30" customFormat="1" hidden="1" x14ac:dyDescent="0.2"/>
    <row r="225" s="30" customFormat="1" hidden="1" x14ac:dyDescent="0.2"/>
    <row r="226" s="30" customFormat="1" hidden="1" x14ac:dyDescent="0.2"/>
    <row r="227" s="30" customFormat="1" hidden="1" x14ac:dyDescent="0.2"/>
    <row r="228" s="30" customFormat="1" hidden="1" x14ac:dyDescent="0.2"/>
    <row r="229" s="30" customFormat="1" hidden="1" x14ac:dyDescent="0.2"/>
    <row r="230" s="30" customFormat="1" hidden="1" x14ac:dyDescent="0.2"/>
    <row r="231" s="30" customFormat="1" hidden="1" x14ac:dyDescent="0.2"/>
    <row r="232" s="30" customFormat="1" hidden="1" x14ac:dyDescent="0.2"/>
    <row r="233" s="30" customFormat="1" hidden="1" x14ac:dyDescent="0.2"/>
    <row r="234" s="30" customFormat="1" hidden="1" x14ac:dyDescent="0.2"/>
    <row r="235" s="30" customFormat="1" hidden="1" x14ac:dyDescent="0.2"/>
    <row r="236" s="30" customFormat="1" hidden="1" x14ac:dyDescent="0.2"/>
    <row r="237" s="30" customFormat="1" hidden="1" x14ac:dyDescent="0.2"/>
    <row r="238" s="30" customFormat="1" hidden="1" x14ac:dyDescent="0.2"/>
    <row r="239" s="30" customFormat="1" hidden="1" x14ac:dyDescent="0.2"/>
    <row r="240" s="30" customFormat="1" hidden="1" x14ac:dyDescent="0.2"/>
    <row r="241" s="30" customFormat="1" hidden="1" x14ac:dyDescent="0.2"/>
    <row r="242" s="30" customFormat="1" hidden="1" x14ac:dyDescent="0.2"/>
    <row r="243" s="30" customFormat="1" hidden="1" x14ac:dyDescent="0.2"/>
    <row r="244" s="30" customFormat="1" hidden="1" x14ac:dyDescent="0.2"/>
    <row r="245" s="30" customFormat="1" hidden="1" x14ac:dyDescent="0.2"/>
    <row r="246" s="30" customFormat="1" hidden="1" x14ac:dyDescent="0.2"/>
    <row r="247" s="30" customFormat="1" hidden="1" x14ac:dyDescent="0.2"/>
    <row r="248" s="30" customFormat="1" hidden="1" x14ac:dyDescent="0.2"/>
    <row r="249" s="30" customFormat="1" hidden="1" x14ac:dyDescent="0.2"/>
    <row r="250" s="30" customFormat="1" hidden="1" x14ac:dyDescent="0.2"/>
    <row r="251" s="30" customFormat="1" hidden="1" x14ac:dyDescent="0.2"/>
    <row r="252" s="30" customFormat="1" hidden="1" x14ac:dyDescent="0.2"/>
    <row r="253" s="30" customFormat="1" hidden="1" x14ac:dyDescent="0.2"/>
    <row r="254" s="30" customFormat="1" hidden="1" x14ac:dyDescent="0.2"/>
    <row r="255" s="30" customFormat="1" hidden="1" x14ac:dyDescent="0.2"/>
    <row r="256" s="30" customFormat="1" hidden="1" x14ac:dyDescent="0.2"/>
    <row r="257" s="30" customFormat="1" hidden="1" x14ac:dyDescent="0.2"/>
    <row r="258" s="30" customFormat="1" hidden="1" x14ac:dyDescent="0.2"/>
    <row r="259" s="30" customFormat="1" hidden="1" x14ac:dyDescent="0.2"/>
    <row r="260" s="30" customFormat="1" hidden="1" x14ac:dyDescent="0.2"/>
    <row r="261" s="30" customFormat="1" hidden="1" x14ac:dyDescent="0.2"/>
    <row r="262" s="30" customFormat="1" hidden="1" x14ac:dyDescent="0.2"/>
    <row r="263" s="30" customFormat="1" hidden="1" x14ac:dyDescent="0.2"/>
    <row r="264" s="30" customFormat="1" hidden="1" x14ac:dyDescent="0.2"/>
    <row r="265" s="30" customFormat="1" hidden="1" x14ac:dyDescent="0.2"/>
    <row r="266" s="30" customFormat="1" hidden="1" x14ac:dyDescent="0.2"/>
    <row r="267" s="30" customFormat="1" hidden="1" x14ac:dyDescent="0.2"/>
    <row r="268" s="30" customFormat="1" hidden="1" x14ac:dyDescent="0.2"/>
    <row r="269" s="30" customFormat="1" hidden="1" x14ac:dyDescent="0.2"/>
    <row r="270" s="30" customFormat="1" hidden="1" x14ac:dyDescent="0.2"/>
    <row r="271" s="30" customFormat="1" hidden="1" x14ac:dyDescent="0.2"/>
    <row r="272" s="30" customFormat="1" hidden="1" x14ac:dyDescent="0.2"/>
    <row r="273" s="30" customFormat="1" hidden="1" x14ac:dyDescent="0.2"/>
    <row r="274" s="30" customFormat="1" hidden="1" x14ac:dyDescent="0.2"/>
    <row r="275" s="30" customFormat="1" hidden="1" x14ac:dyDescent="0.2"/>
    <row r="276" s="30" customFormat="1" hidden="1" x14ac:dyDescent="0.2"/>
    <row r="277" s="30" customFormat="1" hidden="1" x14ac:dyDescent="0.2"/>
    <row r="278" s="30" customFormat="1" hidden="1" x14ac:dyDescent="0.2"/>
    <row r="279" s="30" customFormat="1" hidden="1" x14ac:dyDescent="0.2"/>
    <row r="280" s="30" customFormat="1" hidden="1" x14ac:dyDescent="0.2"/>
    <row r="281" s="30" customFormat="1" hidden="1" x14ac:dyDescent="0.2"/>
    <row r="282" s="30" customFormat="1" hidden="1" x14ac:dyDescent="0.2"/>
    <row r="283" s="30" customFormat="1" hidden="1" x14ac:dyDescent="0.2"/>
    <row r="284" s="30" customFormat="1" hidden="1" x14ac:dyDescent="0.2"/>
    <row r="285" s="30" customFormat="1" hidden="1" x14ac:dyDescent="0.2"/>
    <row r="286" s="30" customFormat="1" hidden="1" x14ac:dyDescent="0.2"/>
    <row r="287" s="30" customFormat="1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</sheetData>
  <dataConsolidate/>
  <mergeCells count="137">
    <mergeCell ref="A1:J1"/>
    <mergeCell ref="A28:J28"/>
    <mergeCell ref="A34:J34"/>
    <mergeCell ref="A38:J38"/>
    <mergeCell ref="A42:J42"/>
    <mergeCell ref="D22:E22"/>
    <mergeCell ref="H62:I62"/>
    <mergeCell ref="B43:I43"/>
    <mergeCell ref="B30:C30"/>
    <mergeCell ref="B29:I29"/>
    <mergeCell ref="B31:C31"/>
    <mergeCell ref="F26:G26"/>
    <mergeCell ref="H26:I26"/>
    <mergeCell ref="B40:C40"/>
    <mergeCell ref="D40:E40"/>
    <mergeCell ref="F37:G37"/>
    <mergeCell ref="D33:E33"/>
    <mergeCell ref="D8:E8"/>
    <mergeCell ref="F8:G8"/>
    <mergeCell ref="H8:I8"/>
    <mergeCell ref="B8:C8"/>
    <mergeCell ref="E2:I2"/>
    <mergeCell ref="F3:G3"/>
    <mergeCell ref="F4:G4"/>
    <mergeCell ref="B85:I85"/>
    <mergeCell ref="B17:C17"/>
    <mergeCell ref="F17:G17"/>
    <mergeCell ref="B57:C57"/>
    <mergeCell ref="B83:I83"/>
    <mergeCell ref="D26:E26"/>
    <mergeCell ref="D41:E41"/>
    <mergeCell ref="D17:E17"/>
    <mergeCell ref="B36:C36"/>
    <mergeCell ref="B33:C33"/>
    <mergeCell ref="H31:I31"/>
    <mergeCell ref="B25:I25"/>
    <mergeCell ref="H17:I17"/>
    <mergeCell ref="F19:G19"/>
    <mergeCell ref="B21:I21"/>
    <mergeCell ref="D18:E18"/>
    <mergeCell ref="D19:E19"/>
    <mergeCell ref="A64:J64"/>
    <mergeCell ref="H70:J70"/>
    <mergeCell ref="A71:J71"/>
    <mergeCell ref="A20:J20"/>
    <mergeCell ref="B82:I82"/>
    <mergeCell ref="H73:I73"/>
    <mergeCell ref="B63:D63"/>
    <mergeCell ref="D76:F76"/>
    <mergeCell ref="H32:I32"/>
    <mergeCell ref="H30:I30"/>
    <mergeCell ref="H37:I37"/>
    <mergeCell ref="F18:G18"/>
    <mergeCell ref="B18:C18"/>
    <mergeCell ref="B19:C19"/>
    <mergeCell ref="B44:G44"/>
    <mergeCell ref="B55:E55"/>
    <mergeCell ref="A24:J24"/>
    <mergeCell ref="A52:J52"/>
    <mergeCell ref="A56:J56"/>
    <mergeCell ref="H59:I59"/>
    <mergeCell ref="F39:G39"/>
    <mergeCell ref="H39:I39"/>
    <mergeCell ref="H40:H41"/>
    <mergeCell ref="I40:I41"/>
    <mergeCell ref="B37:C37"/>
    <mergeCell ref="D37:E37"/>
    <mergeCell ref="B41:C41"/>
    <mergeCell ref="B39:E39"/>
    <mergeCell ref="B3:D3"/>
    <mergeCell ref="B4:D4"/>
    <mergeCell ref="B7:C7"/>
    <mergeCell ref="F7:G7"/>
    <mergeCell ref="D7:E7"/>
    <mergeCell ref="H7:I7"/>
    <mergeCell ref="B6:I6"/>
    <mergeCell ref="A5:J5"/>
    <mergeCell ref="B35:I35"/>
    <mergeCell ref="D30:E30"/>
    <mergeCell ref="H19:I19"/>
    <mergeCell ref="B9:E9"/>
    <mergeCell ref="F9:G9"/>
    <mergeCell ref="H9:I9"/>
    <mergeCell ref="H12:I12"/>
    <mergeCell ref="B11:I11"/>
    <mergeCell ref="F22:G22"/>
    <mergeCell ref="H22:I22"/>
    <mergeCell ref="H18:I18"/>
    <mergeCell ref="B26:C26"/>
    <mergeCell ref="F31:G31"/>
    <mergeCell ref="F30:G30"/>
    <mergeCell ref="D32:E32"/>
    <mergeCell ref="B32:C32"/>
    <mergeCell ref="A15:J15"/>
    <mergeCell ref="A10:J10"/>
    <mergeCell ref="B23:E23"/>
    <mergeCell ref="F23:G23"/>
    <mergeCell ref="H23:I23"/>
    <mergeCell ref="B16:I16"/>
    <mergeCell ref="F32:G32"/>
    <mergeCell ref="D36:E36"/>
    <mergeCell ref="H13:I13"/>
    <mergeCell ref="H14:I14"/>
    <mergeCell ref="B22:C22"/>
    <mergeCell ref="F33:G33"/>
    <mergeCell ref="H33:I33"/>
    <mergeCell ref="B27:C27"/>
    <mergeCell ref="H36:I36"/>
    <mergeCell ref="D27:E27"/>
    <mergeCell ref="F27:G27"/>
    <mergeCell ref="F36:G36"/>
    <mergeCell ref="D31:E31"/>
    <mergeCell ref="H27:I27"/>
    <mergeCell ref="B81:I81"/>
    <mergeCell ref="B58:C58"/>
    <mergeCell ref="C62:G62"/>
    <mergeCell ref="H60:I60"/>
    <mergeCell ref="B53:C53"/>
    <mergeCell ref="B59:E59"/>
    <mergeCell ref="F55:G55"/>
    <mergeCell ref="B54:C54"/>
    <mergeCell ref="B60:C60"/>
    <mergeCell ref="D60:E60"/>
    <mergeCell ref="F60:G60"/>
    <mergeCell ref="F59:G59"/>
    <mergeCell ref="H76:I76"/>
    <mergeCell ref="H77:I77"/>
    <mergeCell ref="B79:I79"/>
    <mergeCell ref="A61:J61"/>
    <mergeCell ref="B80:I80"/>
    <mergeCell ref="H74:I74"/>
    <mergeCell ref="B72:I72"/>
    <mergeCell ref="B65:I65"/>
    <mergeCell ref="B77:C77"/>
    <mergeCell ref="D77:F77"/>
    <mergeCell ref="H63:I63"/>
    <mergeCell ref="B76:C76"/>
  </mergeCells>
  <phoneticPr fontId="4" type="noConversion"/>
  <conditionalFormatting sqref="J60">
    <cfRule type="cellIs" dxfId="61" priority="79" operator="equal">
      <formula>"No"</formula>
    </cfRule>
    <cfRule type="cellIs" dxfId="60" priority="80" operator="equal">
      <formula>"Yes"</formula>
    </cfRule>
  </conditionalFormatting>
  <conditionalFormatting sqref="H62:J62">
    <cfRule type="cellIs" dxfId="59" priority="77" operator="equal">
      <formula>"OPEN"</formula>
    </cfRule>
    <cfRule type="cellIs" dxfId="58" priority="78" operator="equal">
      <formula>"CLOSED"</formula>
    </cfRule>
  </conditionalFormatting>
  <conditionalFormatting sqref="H8">
    <cfRule type="cellIs" dxfId="57" priority="64" operator="equal">
      <formula>"Yellow"</formula>
    </cfRule>
    <cfRule type="cellIs" dxfId="56" priority="91" operator="equal">
      <formula>"Red"</formula>
    </cfRule>
    <cfRule type="cellIs" dxfId="55" priority="92" operator="equal">
      <formula>"Green"</formula>
    </cfRule>
  </conditionalFormatting>
  <conditionalFormatting sqref="H22:I22">
    <cfRule type="cellIs" dxfId="54" priority="52" operator="equal">
      <formula>"N/A"</formula>
    </cfRule>
    <cfRule type="cellIs" dxfId="53" priority="53" operator="lessThanOrEqual">
      <formula>2</formula>
    </cfRule>
    <cfRule type="cellIs" dxfId="52" priority="54" operator="greaterThan">
      <formula>2</formula>
    </cfRule>
  </conditionalFormatting>
  <conditionalFormatting sqref="H60:I60">
    <cfRule type="cellIs" dxfId="51" priority="49" operator="equal">
      <formula>"N/A"</formula>
    </cfRule>
    <cfRule type="cellIs" dxfId="50" priority="50" operator="lessThanOrEqual">
      <formula>2</formula>
    </cfRule>
    <cfRule type="cellIs" dxfId="49" priority="51" operator="greaterThan">
      <formula>2</formula>
    </cfRule>
  </conditionalFormatting>
  <conditionalFormatting sqref="F55:G55 F59">
    <cfRule type="cellIs" dxfId="48" priority="75" operator="equal">
      <formula>"Yes"</formula>
    </cfRule>
    <cfRule type="cellIs" dxfId="47" priority="76" operator="equal">
      <formula>"No"</formula>
    </cfRule>
  </conditionalFormatting>
  <conditionalFormatting sqref="I46:I51">
    <cfRule type="cellIs" dxfId="46" priority="44" operator="equal">
      <formula>"N/A"</formula>
    </cfRule>
    <cfRule type="cellIs" dxfId="45" priority="45" operator="lessThanOrEqual">
      <formula>0.02</formula>
    </cfRule>
    <cfRule type="cellIs" dxfId="44" priority="46" operator="greaterThan">
      <formula>0.02</formula>
    </cfRule>
  </conditionalFormatting>
  <conditionalFormatting sqref="H26:I27 D26:E27">
    <cfRule type="cellIs" dxfId="43" priority="36" operator="equal">
      <formula>"PASS"</formula>
    </cfRule>
    <cfRule type="cellIs" dxfId="42" priority="37" operator="equal">
      <formula>"FAIL"</formula>
    </cfRule>
  </conditionalFormatting>
  <conditionalFormatting sqref="H36:I37 D36:E37">
    <cfRule type="cellIs" dxfId="41" priority="34" operator="equal">
      <formula>"PASS"</formula>
    </cfRule>
    <cfRule type="cellIs" dxfId="40" priority="35" operator="equal">
      <formula>"FAIL"</formula>
    </cfRule>
  </conditionalFormatting>
  <conditionalFormatting sqref="G46:G49">
    <cfRule type="cellIs" dxfId="39" priority="38" operator="equal">
      <formula>"N/A"</formula>
    </cfRule>
    <cfRule type="cellIs" dxfId="38" priority="39" operator="lessThanOrEqual">
      <formula>0.01</formula>
    </cfRule>
    <cfRule type="cellIs" dxfId="37" priority="40" operator="greaterThan">
      <formula>0.01</formula>
    </cfRule>
  </conditionalFormatting>
  <conditionalFormatting sqref="G50:G51">
    <cfRule type="cellIs" dxfId="36" priority="31" operator="equal">
      <formula>"N/A"</formula>
    </cfRule>
    <cfRule type="cellIs" dxfId="35" priority="32" operator="lessThanOrEqual">
      <formula>0.02</formula>
    </cfRule>
    <cfRule type="cellIs" dxfId="34" priority="33" operator="greaterThan">
      <formula>0.02</formula>
    </cfRule>
  </conditionalFormatting>
  <conditionalFormatting sqref="I40:I41 G40 D40:E41">
    <cfRule type="cellIs" dxfId="33" priority="30" operator="equal">
      <formula>"PASS"</formula>
    </cfRule>
    <cfRule type="cellIs" dxfId="32" priority="41" operator="equal">
      <formula>"FAIL"</formula>
    </cfRule>
  </conditionalFormatting>
  <conditionalFormatting sqref="B74:I74">
    <cfRule type="cellIs" dxfId="31" priority="28" operator="equal">
      <formula>"PASS"</formula>
    </cfRule>
    <cfRule type="cellIs" dxfId="30" priority="29" operator="equal">
      <formula>"FAIL"</formula>
    </cfRule>
  </conditionalFormatting>
  <conditionalFormatting sqref="C13">
    <cfRule type="expression" dxfId="29" priority="21">
      <formula>ISBLANK($C$13)</formula>
    </cfRule>
    <cfRule type="expression" dxfId="28" priority="22">
      <formula>TODAY() &lt;= DATE(YEAR($C$13)+1,MONTH($C$13),DAY($C$13))</formula>
    </cfRule>
    <cfRule type="expression" dxfId="27" priority="27">
      <formula>TODAY() &gt; DATE(YEAR($C$13)+1, MONTH($C$13), DAY($C$13))</formula>
    </cfRule>
  </conditionalFormatting>
  <conditionalFormatting sqref="D13">
    <cfRule type="expression" dxfId="26" priority="19">
      <formula>ISBLANK($D$13)</formula>
    </cfRule>
    <cfRule type="expression" dxfId="25" priority="20">
      <formula>TODAY() &lt;= DATE(YEAR($D$13)+1,MONTH($D$13),DAY($D$13))</formula>
    </cfRule>
    <cfRule type="expression" dxfId="24" priority="26">
      <formula>TODAY() &gt; DATE(YEAR($D$13)+1, MONTH($D$13), DAY($D$13))</formula>
    </cfRule>
  </conditionalFormatting>
  <conditionalFormatting sqref="E13">
    <cfRule type="expression" dxfId="23" priority="17">
      <formula>ISBLANK($E$13)</formula>
    </cfRule>
    <cfRule type="expression" dxfId="22" priority="18">
      <formula>TODAY() &lt;= DATE(YEAR($E$13)+1,MONTH($E$13),DAY($E$13))</formula>
    </cfRule>
    <cfRule type="expression" dxfId="21" priority="25">
      <formula>TODAY() &gt; DATE(YEAR($E$13)+1, MONTH($E$13), DAY($E$13))</formula>
    </cfRule>
  </conditionalFormatting>
  <conditionalFormatting sqref="F13">
    <cfRule type="expression" dxfId="20" priority="15">
      <formula>ISBLANK($F$13)</formula>
    </cfRule>
    <cfRule type="expression" dxfId="19" priority="16">
      <formula>TODAY() &lt;= DATE(YEAR($F$13)+1,MONTH($F$13),DAY($F$13))</formula>
    </cfRule>
    <cfRule type="expression" dxfId="18" priority="24">
      <formula>TODAY() &gt; DATE(YEAR($F$13)+1, MONTH($F$13), DAY($F$13))</formula>
    </cfRule>
  </conditionalFormatting>
  <conditionalFormatting sqref="G13">
    <cfRule type="expression" dxfId="17" priority="13">
      <formula>ISBLANK($G$13)</formula>
    </cfRule>
    <cfRule type="expression" dxfId="16" priority="14">
      <formula>TODAY() &lt;= DATE(YEAR($G$13)+1,MONTH($G$13),DAY($G$13))</formula>
    </cfRule>
    <cfRule type="expression" dxfId="15" priority="23">
      <formula>TODAY() &gt; DATE(YEAR($G$13)+1, MONTH($G$13), DAY($G$13))</formula>
    </cfRule>
  </conditionalFormatting>
  <conditionalFormatting sqref="H77:I77">
    <cfRule type="containsText" dxfId="14" priority="11" operator="containsText" text="FAILED">
      <formula>NOT(ISERROR(SEARCH("FAILED",H77)))</formula>
    </cfRule>
    <cfRule type="containsText" dxfId="13" priority="12" operator="containsText" text="PASSED">
      <formula>NOT(ISERROR(SEARCH("PASSED",H77)))</formula>
    </cfRule>
  </conditionalFormatting>
  <conditionalFormatting sqref="D17:E17">
    <cfRule type="cellIs" dxfId="12" priority="4" operator="equal">
      <formula>"100% (5 bars)"</formula>
    </cfRule>
    <cfRule type="cellIs" dxfId="11" priority="9" operator="equal">
      <formula>"80% (4 bars)"</formula>
    </cfRule>
    <cfRule type="cellIs" dxfId="10" priority="10" operator="equal">
      <formula>"&lt;60% (3 bars or less)"</formula>
    </cfRule>
  </conditionalFormatting>
  <conditionalFormatting sqref="H19:I19">
    <cfRule type="cellIs" dxfId="9" priority="5" operator="equal">
      <formula>"--"</formula>
    </cfRule>
    <cfRule type="cellIs" dxfId="8" priority="6" operator="lessThanOrEqual">
      <formula>0.003</formula>
    </cfRule>
    <cfRule type="cellIs" dxfId="7" priority="7" operator="greaterThanOrEqual">
      <formula>0.004</formula>
    </cfRule>
  </conditionalFormatting>
  <conditionalFormatting sqref="H17:I18 D18:E19">
    <cfRule type="cellIs" dxfId="6" priority="42" operator="equal">
      <formula>"PASS"</formula>
    </cfRule>
    <cfRule type="cellIs" dxfId="5" priority="43" operator="equal">
      <formula>"FAIL"</formula>
    </cfRule>
  </conditionalFormatting>
  <conditionalFormatting sqref="H13:I13">
    <cfRule type="expression" dxfId="4" priority="1">
      <formula>ISBLANK($H$13)</formula>
    </cfRule>
    <cfRule type="expression" dxfId="3" priority="2">
      <formula>TODAY() &lt;= DATE(YEAR($H$13)+1,MONTH($H$13),DAY($H$13))</formula>
    </cfRule>
    <cfRule type="expression" dxfId="2" priority="3">
      <formula>TODAY() &gt; DATE(YEAR($H$13)+1, MONTH($H$13), DAY($H$13))</formula>
    </cfRule>
  </conditionalFormatting>
  <conditionalFormatting sqref="D30:E33 H30:I33">
    <cfRule type="cellIs" dxfId="1" priority="69" operator="equal">
      <formula>"OPEN"</formula>
    </cfRule>
    <cfRule type="cellIs" dxfId="0" priority="70" operator="equal">
      <formula>"CLOSED"</formula>
    </cfRule>
  </conditionalFormatting>
  <dataValidations count="3">
    <dataValidation type="list" showInputMessage="1" showErrorMessage="1" sqref="H77:I77">
      <formula1>$B$108:$B$110</formula1>
    </dataValidation>
    <dataValidation type="whole" operator="lessThanOrEqual" allowBlank="1" showErrorMessage="1" errorTitle="Input Error" error="Maximum size of dry air MFC is 400 slms. Please enter MFC size less than 400." sqref="G14">
      <formula1>400</formula1>
    </dataValidation>
    <dataValidation type="list" allowBlank="1" showInputMessage="1" showErrorMessage="1" sqref="H19:I19">
      <formula1>Manifold</formula1>
    </dataValidation>
  </dataValidations>
  <pageMargins left="1" right="1" top="0.25" bottom="0.25" header="0" footer="0"/>
  <pageSetup scale="86" fitToHeight="0" orientation="portrait" r:id="rId1"/>
  <headerFooter alignWithMargins="0"/>
  <rowBreaks count="1" manualBreakCount="1">
    <brk id="100" min="1" max="8" man="1"/>
  </rowBreaks>
  <ignoredErrors>
    <ignoredError sqref="D8" unlockedFormula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Sheet2!$B$1:$B$4</xm:f>
          </x14:formula1>
          <xm:sqref>B74:I74 D18:E19 H26:I27 H36:I37 D40:E41 D26:E27 I40:I41 D36:E37 G40 H17:I18</xm:sqref>
        </x14:dataValidation>
        <x14:dataValidation type="list" allowBlank="1" showInputMessage="1" showErrorMessage="1">
          <x14:formula1>
            <xm:f>Sheet2!$A$1:$A$4</xm:f>
          </x14:formula1>
          <xm:sqref>H8:I8</xm:sqref>
        </x14:dataValidation>
        <x14:dataValidation type="list" allowBlank="1" showInputMessage="1" showErrorMessage="1">
          <x14:formula1>
            <xm:f>Sheet2!$D$1:$D$3</xm:f>
          </x14:formula1>
          <xm:sqref>G41</xm:sqref>
        </x14:dataValidation>
        <x14:dataValidation type="list" allowBlank="1" showInputMessage="1" showErrorMessage="1">
          <x14:formula1>
            <xm:f>Sheet2!$C$1:$C$4</xm:f>
          </x14:formula1>
          <xm:sqref>D30:E33 H62:I62 H30:I33</xm:sqref>
        </x14:dataValidation>
        <x14:dataValidation type="list" allowBlank="1" showInputMessage="1" showErrorMessage="1">
          <x14:formula1>
            <xm:f>Sheet2!$E$1:$E$4</xm:f>
          </x14:formula1>
          <xm:sqref>D17:E17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4"/>
  <sheetViews>
    <sheetView workbookViewId="0">
      <selection activeCell="H1" sqref="H1:H24"/>
    </sheetView>
  </sheetViews>
  <sheetFormatPr defaultRowHeight="12.75" x14ac:dyDescent="0.2"/>
  <cols>
    <col min="5" max="5" width="19.140625" bestFit="1" customWidth="1"/>
  </cols>
  <sheetData>
    <row r="1" spans="1:8" x14ac:dyDescent="0.2">
      <c r="A1" s="9" t="s">
        <v>132</v>
      </c>
      <c r="B1" s="9" t="s">
        <v>132</v>
      </c>
      <c r="C1" s="9" t="s">
        <v>132</v>
      </c>
      <c r="D1" s="9" t="s">
        <v>132</v>
      </c>
      <c r="E1" s="9" t="s">
        <v>132</v>
      </c>
      <c r="F1" s="9" t="s">
        <v>132</v>
      </c>
      <c r="G1" s="9" t="s">
        <v>132</v>
      </c>
      <c r="H1" s="1" t="s">
        <v>189</v>
      </c>
    </row>
    <row r="2" spans="1:8" x14ac:dyDescent="0.2">
      <c r="A2" s="6" t="s">
        <v>118</v>
      </c>
      <c r="B2" s="3" t="s">
        <v>184</v>
      </c>
      <c r="C2" s="4" t="s">
        <v>187</v>
      </c>
      <c r="D2" s="4" t="s">
        <v>7</v>
      </c>
      <c r="E2" s="67" t="s">
        <v>173</v>
      </c>
      <c r="F2" s="5" t="s">
        <v>178</v>
      </c>
      <c r="G2">
        <v>0</v>
      </c>
      <c r="H2" s="1" t="s">
        <v>190</v>
      </c>
    </row>
    <row r="3" spans="1:8" x14ac:dyDescent="0.2">
      <c r="A3" s="7" t="s">
        <v>119</v>
      </c>
      <c r="B3" s="2" t="s">
        <v>185</v>
      </c>
      <c r="C3" s="162" t="s">
        <v>188</v>
      </c>
      <c r="D3" s="162" t="s">
        <v>8</v>
      </c>
      <c r="E3" s="67" t="s">
        <v>174</v>
      </c>
      <c r="F3" s="5" t="s">
        <v>179</v>
      </c>
      <c r="G3">
        <v>1.5E-3</v>
      </c>
      <c r="H3" s="1" t="s">
        <v>191</v>
      </c>
    </row>
    <row r="4" spans="1:8" x14ac:dyDescent="0.2">
      <c r="A4" s="8" t="s">
        <v>120</v>
      </c>
      <c r="B4" s="1" t="s">
        <v>57</v>
      </c>
      <c r="C4" s="1" t="s">
        <v>57</v>
      </c>
      <c r="E4" s="1" t="s">
        <v>175</v>
      </c>
      <c r="G4">
        <v>2E-3</v>
      </c>
      <c r="H4" s="1" t="s">
        <v>192</v>
      </c>
    </row>
    <row r="5" spans="1:8" x14ac:dyDescent="0.2">
      <c r="E5" s="66"/>
      <c r="G5">
        <v>3.5000000000000001E-3</v>
      </c>
      <c r="H5" s="1" t="s">
        <v>193</v>
      </c>
    </row>
    <row r="6" spans="1:8" x14ac:dyDescent="0.2">
      <c r="G6">
        <v>4.0000000000000001E-3</v>
      </c>
      <c r="H6" s="1" t="s">
        <v>194</v>
      </c>
    </row>
    <row r="7" spans="1:8" x14ac:dyDescent="0.2">
      <c r="G7">
        <v>5.0000000000000001E-3</v>
      </c>
      <c r="H7" s="1" t="s">
        <v>195</v>
      </c>
    </row>
    <row r="8" spans="1:8" x14ac:dyDescent="0.2">
      <c r="G8">
        <v>6.0000000000000001E-3</v>
      </c>
      <c r="H8" s="1" t="s">
        <v>196</v>
      </c>
    </row>
    <row r="9" spans="1:8" x14ac:dyDescent="0.2">
      <c r="G9">
        <v>8.0000000000000002E-3</v>
      </c>
      <c r="H9" s="1" t="s">
        <v>197</v>
      </c>
    </row>
    <row r="10" spans="1:8" x14ac:dyDescent="0.2">
      <c r="G10">
        <v>0.01</v>
      </c>
      <c r="H10" s="1" t="s">
        <v>198</v>
      </c>
    </row>
    <row r="11" spans="1:8" x14ac:dyDescent="0.2">
      <c r="H11" s="1" t="s">
        <v>199</v>
      </c>
    </row>
    <row r="12" spans="1:8" x14ac:dyDescent="0.2">
      <c r="H12" s="1" t="s">
        <v>200</v>
      </c>
    </row>
    <row r="13" spans="1:8" x14ac:dyDescent="0.2">
      <c r="H13" s="1" t="s">
        <v>201</v>
      </c>
    </row>
    <row r="14" spans="1:8" x14ac:dyDescent="0.2">
      <c r="H14" s="1" t="s">
        <v>202</v>
      </c>
    </row>
    <row r="15" spans="1:8" x14ac:dyDescent="0.2">
      <c r="H15" s="1" t="s">
        <v>203</v>
      </c>
    </row>
    <row r="16" spans="1:8" x14ac:dyDescent="0.2">
      <c r="H16" s="1" t="s">
        <v>204</v>
      </c>
    </row>
    <row r="17" spans="8:8" x14ac:dyDescent="0.2">
      <c r="H17" s="1" t="s">
        <v>205</v>
      </c>
    </row>
    <row r="18" spans="8:8" x14ac:dyDescent="0.2">
      <c r="H18" s="1" t="s">
        <v>206</v>
      </c>
    </row>
    <row r="19" spans="8:8" x14ac:dyDescent="0.2">
      <c r="H19" s="1" t="s">
        <v>207</v>
      </c>
    </row>
    <row r="20" spans="8:8" x14ac:dyDescent="0.2">
      <c r="H20" s="1" t="s">
        <v>208</v>
      </c>
    </row>
    <row r="21" spans="8:8" x14ac:dyDescent="0.2">
      <c r="H21" s="1" t="s">
        <v>209</v>
      </c>
    </row>
    <row r="22" spans="8:8" x14ac:dyDescent="0.2">
      <c r="H22" s="1" t="s">
        <v>210</v>
      </c>
    </row>
    <row r="23" spans="8:8" x14ac:dyDescent="0.2">
      <c r="H23" s="1" t="s">
        <v>211</v>
      </c>
    </row>
    <row r="24" spans="8:8" x14ac:dyDescent="0.2">
      <c r="H24" s="1" t="s">
        <v>212</v>
      </c>
    </row>
  </sheetData>
  <sortState ref="E2:E3">
    <sortCondition descending="1" ref="E2"/>
  </sortState>
  <phoneticPr fontId="4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F33" sqref="F33"/>
    </sheetView>
  </sheetViews>
  <sheetFormatPr defaultRowHeight="12.75" x14ac:dyDescent="0.2"/>
  <sheetData>
    <row r="1" spans="1:1" x14ac:dyDescent="0.2">
      <c r="A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32</vt:i4>
      </vt:variant>
    </vt:vector>
  </HeadingPairs>
  <TitlesOfParts>
    <vt:vector size="35" baseType="lpstr">
      <vt:lpstr>Sheet1</vt:lpstr>
      <vt:lpstr>Sheet2</vt:lpstr>
      <vt:lpstr>DummyModule</vt:lpstr>
      <vt:lpstr>AIR</vt:lpstr>
      <vt:lpstr>CH_4</vt:lpstr>
      <vt:lpstr>DATE</vt:lpstr>
      <vt:lpstr>E_Con1</vt:lpstr>
      <vt:lpstr>E_Con2</vt:lpstr>
      <vt:lpstr>E_Load</vt:lpstr>
      <vt:lpstr>Grade</vt:lpstr>
      <vt:lpstr>H_2</vt:lpstr>
      <vt:lpstr>Header_V1</vt:lpstr>
      <vt:lpstr>Header_V2</vt:lpstr>
      <vt:lpstr>Leak_By</vt:lpstr>
      <vt:lpstr>Leak_Decay</vt:lpstr>
      <vt:lpstr>M_AIR</vt:lpstr>
      <vt:lpstr>Manifold</vt:lpstr>
      <vt:lpstr>N_2</vt:lpstr>
      <vt:lpstr>Next_stack_ID</vt:lpstr>
      <vt:lpstr>PHH</vt:lpstr>
      <vt:lpstr>Plumbing</vt:lpstr>
      <vt:lpstr>Pre_lockout1</vt:lpstr>
      <vt:lpstr>Pre_lockout2</vt:lpstr>
      <vt:lpstr>Sheet1!Print_Area</vt:lpstr>
      <vt:lpstr>Sim_check</vt:lpstr>
      <vt:lpstr>Solenoid_V1</vt:lpstr>
      <vt:lpstr>Solenoid_V2</vt:lpstr>
      <vt:lpstr>Status</vt:lpstr>
      <vt:lpstr>Tech_comments_1</vt:lpstr>
      <vt:lpstr>Tech_comments_2</vt:lpstr>
      <vt:lpstr>Test_Stations</vt:lpstr>
      <vt:lpstr>Thermocouple_Check</vt:lpstr>
      <vt:lpstr>TS_ID</vt:lpstr>
      <vt:lpstr>TS_Stand</vt:lpstr>
      <vt:lpstr>UV</vt:lpstr>
    </vt:vector>
  </TitlesOfParts>
  <Company>Bloom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jcampos</dc:creator>
  <cp:lastModifiedBy>Dennys Gonzalez</cp:lastModifiedBy>
  <cp:lastPrinted>2016-01-12T19:26:28Z</cp:lastPrinted>
  <dcterms:created xsi:type="dcterms:W3CDTF">2009-09-25T16:12:41Z</dcterms:created>
  <dcterms:modified xsi:type="dcterms:W3CDTF">2018-07-31T05:03:34Z</dcterms:modified>
</cp:coreProperties>
</file>